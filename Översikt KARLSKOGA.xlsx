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45639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45639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46597-2024</t>
        </is>
      </c>
      <c r="B4" s="1" t="n">
        <v>45582</v>
      </c>
      <c r="C4" s="1" t="n">
        <v>45639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2.6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Motaggsvamp
Kattfotslav
Tjäder</t>
        </is>
      </c>
      <c r="S4">
        <f>HYPERLINK("https://klasma.github.io/Logging_1883/artfynd/A 46597-2024 artfynd.xlsx", "A 46597-2024")</f>
        <v/>
      </c>
      <c r="T4">
        <f>HYPERLINK("https://klasma.github.io/Logging_1883/kartor/A 46597-2024 karta.png", "A 46597-2024")</f>
        <v/>
      </c>
      <c r="V4">
        <f>HYPERLINK("https://klasma.github.io/Logging_1883/klagomål/A 46597-2024 FSC-klagomål.docx", "A 46597-2024")</f>
        <v/>
      </c>
      <c r="W4">
        <f>HYPERLINK("https://klasma.github.io/Logging_1883/klagomålsmail/A 46597-2024 FSC-klagomål mail.docx", "A 46597-2024")</f>
        <v/>
      </c>
      <c r="X4">
        <f>HYPERLINK("https://klasma.github.io/Logging_1883/tillsyn/A 46597-2024 tillsynsbegäran.docx", "A 46597-2024")</f>
        <v/>
      </c>
      <c r="Y4">
        <f>HYPERLINK("https://klasma.github.io/Logging_1883/tillsynsmail/A 46597-2024 tillsynsbegäran mail.docx", "A 46597-2024")</f>
        <v/>
      </c>
      <c r="Z4">
        <f>HYPERLINK("https://klasma.github.io/Logging_1883/fåglar/A 46597-2024 prioriterade fågelarter.docx", "A 46597-2024")</f>
        <v/>
      </c>
    </row>
    <row r="5" ht="15" customHeight="1">
      <c r="A5" t="inlineStr">
        <is>
          <t>A 61334-2020</t>
        </is>
      </c>
      <c r="B5" s="1" t="n">
        <v>44155</v>
      </c>
      <c r="C5" s="1" t="n">
        <v>45639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Sälgbrokmal
Skogsklocka</t>
        </is>
      </c>
      <c r="S5">
        <f>HYPERLINK("https://klasma.github.io/Logging_1883/artfynd/A 61334-2020 artfynd.xlsx", "A 61334-2020")</f>
        <v/>
      </c>
      <c r="T5">
        <f>HYPERLINK("https://klasma.github.io/Logging_1883/kartor/A 61334-2020 karta.png", "A 61334-2020")</f>
        <v/>
      </c>
      <c r="V5">
        <f>HYPERLINK("https://klasma.github.io/Logging_1883/klagomål/A 61334-2020 FSC-klagomål.docx", "A 61334-2020")</f>
        <v/>
      </c>
      <c r="W5">
        <f>HYPERLINK("https://klasma.github.io/Logging_1883/klagomålsmail/A 61334-2020 FSC-klagomål mail.docx", "A 61334-2020")</f>
        <v/>
      </c>
      <c r="X5">
        <f>HYPERLINK("https://klasma.github.io/Logging_1883/tillsyn/A 61334-2020 tillsynsbegäran.docx", "A 61334-2020")</f>
        <v/>
      </c>
      <c r="Y5">
        <f>HYPERLINK("https://klasma.github.io/Logging_1883/tillsynsmail/A 61334-2020 tillsynsbegäran mail.docx", "A 61334-2020")</f>
        <v/>
      </c>
    </row>
    <row r="6" ht="15" customHeight="1">
      <c r="A6" t="inlineStr">
        <is>
          <t>A 44988-2020</t>
        </is>
      </c>
      <c r="B6" s="1" t="n">
        <v>44088</v>
      </c>
      <c r="C6" s="1" t="n">
        <v>45639</v>
      </c>
      <c r="D6" t="inlineStr">
        <is>
          <t>ÖREBRO LÄN</t>
        </is>
      </c>
      <c r="E6" t="inlineStr">
        <is>
          <t>KARLSKOGA</t>
        </is>
      </c>
      <c r="G6" t="n">
        <v>2.3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Långfibbla</t>
        </is>
      </c>
      <c r="S6">
        <f>HYPERLINK("https://klasma.github.io/Logging_1883/artfynd/A 44988-2020 artfynd.xlsx", "A 44988-2020")</f>
        <v/>
      </c>
      <c r="T6">
        <f>HYPERLINK("https://klasma.github.io/Logging_1883/kartor/A 44988-2020 karta.png", "A 44988-2020")</f>
        <v/>
      </c>
      <c r="V6">
        <f>HYPERLINK("https://klasma.github.io/Logging_1883/klagomål/A 44988-2020 FSC-klagomål.docx", "A 44988-2020")</f>
        <v/>
      </c>
      <c r="W6">
        <f>HYPERLINK("https://klasma.github.io/Logging_1883/klagomålsmail/A 44988-2020 FSC-klagomål mail.docx", "A 44988-2020")</f>
        <v/>
      </c>
      <c r="X6">
        <f>HYPERLINK("https://klasma.github.io/Logging_1883/tillsyn/A 44988-2020 tillsynsbegäran.docx", "A 44988-2020")</f>
        <v/>
      </c>
      <c r="Y6">
        <f>HYPERLINK("https://klasma.github.io/Logging_1883/tillsynsmail/A 44988-2020 tillsynsbegäran mail.docx", "A 44988-2020")</f>
        <v/>
      </c>
    </row>
    <row r="7" ht="15" customHeight="1">
      <c r="A7" t="inlineStr">
        <is>
          <t>A 57386-2020</t>
        </is>
      </c>
      <c r="B7" s="1" t="n">
        <v>44140</v>
      </c>
      <c r="C7" s="1" t="n">
        <v>45639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Bivråk</t>
        </is>
      </c>
      <c r="S7">
        <f>HYPERLINK("https://klasma.github.io/Logging_1883/artfynd/A 57386-2020 artfynd.xlsx", "A 57386-2020")</f>
        <v/>
      </c>
      <c r="T7">
        <f>HYPERLINK("https://klasma.github.io/Logging_1883/kartor/A 57386-2020 karta.png", "A 57386-2020")</f>
        <v/>
      </c>
      <c r="V7">
        <f>HYPERLINK("https://klasma.github.io/Logging_1883/klagomål/A 57386-2020 FSC-klagomål.docx", "A 57386-2020")</f>
        <v/>
      </c>
      <c r="W7">
        <f>HYPERLINK("https://klasma.github.io/Logging_1883/klagomålsmail/A 57386-2020 FSC-klagomål mail.docx", "A 57386-2020")</f>
        <v/>
      </c>
      <c r="X7">
        <f>HYPERLINK("https://klasma.github.io/Logging_1883/tillsyn/A 57386-2020 tillsynsbegäran.docx", "A 57386-2020")</f>
        <v/>
      </c>
      <c r="Y7">
        <f>HYPERLINK("https://klasma.github.io/Logging_1883/tillsynsmail/A 57386-2020 tillsynsbegäran mail.docx", "A 57386-2020")</f>
        <v/>
      </c>
      <c r="Z7">
        <f>HYPERLINK("https://klasma.github.io/Logging_1883/fåglar/A 57386-2020 prioriterade fågelarter.docx", "A 57386-2020")</f>
        <v/>
      </c>
    </row>
    <row r="8" ht="15" customHeight="1">
      <c r="A8" t="inlineStr">
        <is>
          <t>A 58022-2020</t>
        </is>
      </c>
      <c r="B8" s="1" t="n">
        <v>44144</v>
      </c>
      <c r="C8" s="1" t="n">
        <v>45639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58022-2020 artfynd.xlsx", "A 58022-2020")</f>
        <v/>
      </c>
      <c r="T8">
        <f>HYPERLINK("https://klasma.github.io/Logging_1883/kartor/A 58022-2020 karta.png", "A 58022-2020")</f>
        <v/>
      </c>
      <c r="V8">
        <f>HYPERLINK("https://klasma.github.io/Logging_1883/klagomål/A 58022-2020 FSC-klagomål.docx", "A 58022-2020")</f>
        <v/>
      </c>
      <c r="W8">
        <f>HYPERLINK("https://klasma.github.io/Logging_1883/klagomålsmail/A 58022-2020 FSC-klagomål mail.docx", "A 58022-2020")</f>
        <v/>
      </c>
      <c r="X8">
        <f>HYPERLINK("https://klasma.github.io/Logging_1883/tillsyn/A 58022-2020 tillsynsbegäran.docx", "A 58022-2020")</f>
        <v/>
      </c>
      <c r="Y8">
        <f>HYPERLINK("https://klasma.github.io/Logging_1883/tillsynsmail/A 58022-2020 tillsynsbegäran mail.docx", "A 58022-2020")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45639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32269-2022</t>
        </is>
      </c>
      <c r="B10" s="1" t="n">
        <v>44781</v>
      </c>
      <c r="C10" s="1" t="n">
        <v>45639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HYPERLINK("https://klasma.github.io/Logging_1883/artfynd/A 32269-2022 artfynd.xlsx", "A 32269-2022")</f>
        <v/>
      </c>
      <c r="T10">
        <f>HYPERLINK("https://klasma.github.io/Logging_1883/kartor/A 32269-2022 karta.png", "A 32269-2022")</f>
        <v/>
      </c>
      <c r="V10">
        <f>HYPERLINK("https://klasma.github.io/Logging_1883/klagomål/A 32269-2022 FSC-klagomål.docx", "A 32269-2022")</f>
        <v/>
      </c>
      <c r="W10">
        <f>HYPERLINK("https://klasma.github.io/Logging_1883/klagomålsmail/A 32269-2022 FSC-klagomål mail.docx", "A 32269-2022")</f>
        <v/>
      </c>
      <c r="X10">
        <f>HYPERLINK("https://klasma.github.io/Logging_1883/tillsyn/A 32269-2022 tillsynsbegäran.docx", "A 32269-2022")</f>
        <v/>
      </c>
      <c r="Y10">
        <f>HYPERLINK("https://klasma.github.io/Logging_1883/tillsynsmail/A 32269-2022 tillsynsbegäran mail.docx", "A 32269-2022")</f>
        <v/>
      </c>
    </row>
    <row r="11" ht="15" customHeight="1">
      <c r="A11" t="inlineStr">
        <is>
          <t>A 5814-2023</t>
        </is>
      </c>
      <c r="B11" s="1" t="n">
        <v>44963</v>
      </c>
      <c r="C11" s="1" t="n">
        <v>45639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HYPERLINK("https://klasma.github.io/Logging_1883/artfynd/A 5814-2023 artfynd.xlsx", "A 5814-2023")</f>
        <v/>
      </c>
      <c r="T11">
        <f>HYPERLINK("https://klasma.github.io/Logging_1883/kartor/A 5814-2023 karta.png", "A 5814-2023")</f>
        <v/>
      </c>
      <c r="V11">
        <f>HYPERLINK("https://klasma.github.io/Logging_1883/klagomål/A 5814-2023 FSC-klagomål.docx", "A 5814-2023")</f>
        <v/>
      </c>
      <c r="W11">
        <f>HYPERLINK("https://klasma.github.io/Logging_1883/klagomålsmail/A 5814-2023 FSC-klagomål mail.docx", "A 5814-2023")</f>
        <v/>
      </c>
      <c r="X11">
        <f>HYPERLINK("https://klasma.github.io/Logging_1883/tillsyn/A 5814-2023 tillsynsbegäran.docx", "A 5814-2023")</f>
        <v/>
      </c>
      <c r="Y11">
        <f>HYPERLINK("https://klasma.github.io/Logging_1883/tillsynsmail/A 5814-2023 tillsynsbegäran mail.docx", "A 5814-2023")</f>
        <v/>
      </c>
    </row>
    <row r="12" ht="15" customHeight="1">
      <c r="A12" t="inlineStr">
        <is>
          <t>A 53626-2023</t>
        </is>
      </c>
      <c r="B12" s="1" t="n">
        <v>45230</v>
      </c>
      <c r="C12" s="1" t="n">
        <v>45639</v>
      </c>
      <c r="D12" t="inlineStr">
        <is>
          <t>ÖREBRO LÄN</t>
        </is>
      </c>
      <c r="E12" t="inlineStr">
        <is>
          <t>KARLSKOGA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Storgröe</t>
        </is>
      </c>
      <c r="S12">
        <f>HYPERLINK("https://klasma.github.io/Logging_1883/artfynd/A 53626-2023 artfynd.xlsx", "A 53626-2023")</f>
        <v/>
      </c>
      <c r="T12">
        <f>HYPERLINK("https://klasma.github.io/Logging_1883/kartor/A 53626-2023 karta.png", "A 53626-2023")</f>
        <v/>
      </c>
      <c r="V12">
        <f>HYPERLINK("https://klasma.github.io/Logging_1883/klagomål/A 53626-2023 FSC-klagomål.docx", "A 53626-2023")</f>
        <v/>
      </c>
      <c r="W12">
        <f>HYPERLINK("https://klasma.github.io/Logging_1883/klagomålsmail/A 53626-2023 FSC-klagomål mail.docx", "A 53626-2023")</f>
        <v/>
      </c>
      <c r="X12">
        <f>HYPERLINK("https://klasma.github.io/Logging_1883/tillsyn/A 53626-2023 tillsynsbegäran.docx", "A 53626-2023")</f>
        <v/>
      </c>
      <c r="Y12">
        <f>HYPERLINK("https://klasma.github.io/Logging_1883/tillsynsmail/A 53626-2023 tillsynsbegäran mail.docx", "A 53626-2023")</f>
        <v/>
      </c>
    </row>
    <row r="13" ht="15" customHeight="1">
      <c r="A13" t="inlineStr">
        <is>
          <t>A 22752-2024</t>
        </is>
      </c>
      <c r="B13" s="1" t="n">
        <v>45448</v>
      </c>
      <c r="C13" s="1" t="n">
        <v>45639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HYPERLINK("https://klasma.github.io/Logging_1883/artfynd/A 22752-2024 artfynd.xlsx", "A 22752-2024")</f>
        <v/>
      </c>
      <c r="T13">
        <f>HYPERLINK("https://klasma.github.io/Logging_1883/kartor/A 22752-2024 karta.png", "A 22752-2024")</f>
        <v/>
      </c>
      <c r="V13">
        <f>HYPERLINK("https://klasma.github.io/Logging_1883/klagomål/A 22752-2024 FSC-klagomål.docx", "A 22752-2024")</f>
        <v/>
      </c>
      <c r="W13">
        <f>HYPERLINK("https://klasma.github.io/Logging_1883/klagomålsmail/A 22752-2024 FSC-klagomål mail.docx", "A 22752-2024")</f>
        <v/>
      </c>
      <c r="X13">
        <f>HYPERLINK("https://klasma.github.io/Logging_1883/tillsyn/A 22752-2024 tillsynsbegäran.docx", "A 22752-2024")</f>
        <v/>
      </c>
      <c r="Y13">
        <f>HYPERLINK("https://klasma.github.io/Logging_1883/tillsynsmail/A 22752-2024 tillsynsbegäran mail.docx", "A 22752-2024")</f>
        <v/>
      </c>
      <c r="Z13">
        <f>HYPERLINK("https://klasma.github.io/Logging_1883/fåglar/A 22752-2024 prioriterade fågelarter.docx", "A 22752-2024")</f>
        <v/>
      </c>
    </row>
    <row r="14" ht="15" customHeight="1">
      <c r="A14" t="inlineStr">
        <is>
          <t>A 44769-2024</t>
        </is>
      </c>
      <c r="B14" s="1" t="n">
        <v>45574</v>
      </c>
      <c r="C14" s="1" t="n">
        <v>45639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Kricka</t>
        </is>
      </c>
      <c r="S14">
        <f>HYPERLINK("https://klasma.github.io/Logging_1883/artfynd/A 44769-2024 artfynd.xlsx", "A 44769-2024")</f>
        <v/>
      </c>
      <c r="T14">
        <f>HYPERLINK("https://klasma.github.io/Logging_1883/kartor/A 44769-2024 karta.png", "A 44769-2024")</f>
        <v/>
      </c>
      <c r="V14">
        <f>HYPERLINK("https://klasma.github.io/Logging_1883/klagomål/A 44769-2024 FSC-klagomål.docx", "A 44769-2024")</f>
        <v/>
      </c>
      <c r="W14">
        <f>HYPERLINK("https://klasma.github.io/Logging_1883/klagomålsmail/A 44769-2024 FSC-klagomål mail.docx", "A 44769-2024")</f>
        <v/>
      </c>
      <c r="X14">
        <f>HYPERLINK("https://klasma.github.io/Logging_1883/tillsyn/A 44769-2024 tillsynsbegäran.docx", "A 44769-2024")</f>
        <v/>
      </c>
      <c r="Y14">
        <f>HYPERLINK("https://klasma.github.io/Logging_1883/tillsynsmail/A 44769-2024 tillsynsbegäran mail.docx", "A 44769-2024")</f>
        <v/>
      </c>
      <c r="Z14">
        <f>HYPERLINK("https://klasma.github.io/Logging_1883/fåglar/A 44769-2024 prioriterade fågelarter.docx", "A 44769-2024")</f>
        <v/>
      </c>
    </row>
    <row r="15" ht="15" customHeight="1">
      <c r="A15" t="inlineStr">
        <is>
          <t>A 52451-2024</t>
        </is>
      </c>
      <c r="B15" s="1" t="n">
        <v>45609</v>
      </c>
      <c r="C15" s="1" t="n">
        <v>45639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Dofttråding</t>
        </is>
      </c>
      <c r="S15">
        <f>HYPERLINK("https://klasma.github.io/Logging_1883/artfynd/A 52451-2024 artfynd.xlsx", "A 52451-2024")</f>
        <v/>
      </c>
      <c r="T15">
        <f>HYPERLINK("https://klasma.github.io/Logging_1883/kartor/A 52451-2024 karta.png", "A 52451-2024")</f>
        <v/>
      </c>
      <c r="V15">
        <f>HYPERLINK("https://klasma.github.io/Logging_1883/klagomål/A 52451-2024 FSC-klagomål.docx", "A 52451-2024")</f>
        <v/>
      </c>
      <c r="W15">
        <f>HYPERLINK("https://klasma.github.io/Logging_1883/klagomålsmail/A 52451-2024 FSC-klagomål mail.docx", "A 52451-2024")</f>
        <v/>
      </c>
      <c r="X15">
        <f>HYPERLINK("https://klasma.github.io/Logging_1883/tillsyn/A 52451-2024 tillsynsbegäran.docx", "A 52451-2024")</f>
        <v/>
      </c>
      <c r="Y15">
        <f>HYPERLINK("https://klasma.github.io/Logging_1883/tillsynsmail/A 52451-2024 tillsynsbegäran mail.docx", "A 52451-2024")</f>
        <v/>
      </c>
    </row>
    <row r="16" ht="15" customHeight="1">
      <c r="A16" t="inlineStr">
        <is>
          <t>A 18382-2019</t>
        </is>
      </c>
      <c r="B16" s="1" t="n">
        <v>43559</v>
      </c>
      <c r="C16" s="1" t="n">
        <v>45639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18461-2019</t>
        </is>
      </c>
      <c r="B17" s="1" t="n">
        <v>43559</v>
      </c>
      <c r="C17" s="1" t="n">
        <v>45639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19723-2019</t>
        </is>
      </c>
      <c r="B18" s="1" t="n">
        <v>43566</v>
      </c>
      <c r="C18" s="1" t="n">
        <v>45639</v>
      </c>
      <c r="D18" t="inlineStr">
        <is>
          <t>ÖREBRO LÄN</t>
        </is>
      </c>
      <c r="E18" t="inlineStr">
        <is>
          <t>KARLSKOGA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20547-2019</t>
        </is>
      </c>
      <c r="B19" s="1" t="n">
        <v>43572</v>
      </c>
      <c r="C19" s="1" t="n">
        <v>45639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22760-2019</t>
        </is>
      </c>
      <c r="B20" s="1" t="n">
        <v>43587</v>
      </c>
      <c r="C20" s="1" t="n">
        <v>45639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24090-2019</t>
        </is>
      </c>
      <c r="B21" s="1" t="n">
        <v>43598</v>
      </c>
      <c r="C21" s="1" t="n">
        <v>45639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25077-2019</t>
        </is>
      </c>
      <c r="B22" s="1" t="n">
        <v>43601</v>
      </c>
      <c r="C22" s="1" t="n">
        <v>45639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25084-2019</t>
        </is>
      </c>
      <c r="B23" s="1" t="n">
        <v>43601</v>
      </c>
      <c r="C23" s="1" t="n">
        <v>45639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34518-2019</t>
        </is>
      </c>
      <c r="B24" s="1" t="n">
        <v>43647</v>
      </c>
      <c r="C24" s="1" t="n">
        <v>45639</v>
      </c>
      <c r="D24" t="inlineStr">
        <is>
          <t>ÖREBRO LÄN</t>
        </is>
      </c>
      <c r="E24" t="inlineStr">
        <is>
          <t>KARLSKOGA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34524-2019</t>
        </is>
      </c>
      <c r="B25" s="1" t="n">
        <v>43647</v>
      </c>
      <c r="C25" s="1" t="n">
        <v>45639</v>
      </c>
      <c r="D25" t="inlineStr">
        <is>
          <t>ÖREBRO LÄN</t>
        </is>
      </c>
      <c r="E25" t="inlineStr">
        <is>
          <t>KARLSKOGA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37112-2019</t>
        </is>
      </c>
      <c r="B26" s="1" t="n">
        <v>43676</v>
      </c>
      <c r="C26" s="1" t="n">
        <v>45639</v>
      </c>
      <c r="D26" t="inlineStr">
        <is>
          <t>ÖREBRO LÄN</t>
        </is>
      </c>
      <c r="E26" t="inlineStr">
        <is>
          <t>KARLSKOGA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37728-2019</t>
        </is>
      </c>
      <c r="B27" s="1" t="n">
        <v>43682</v>
      </c>
      <c r="C27" s="1" t="n">
        <v>45639</v>
      </c>
      <c r="D27" t="inlineStr">
        <is>
          <t>ÖREBRO LÄN</t>
        </is>
      </c>
      <c r="E27" t="inlineStr">
        <is>
          <t>KARLSKOGA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38669-2019</t>
        </is>
      </c>
      <c r="B28" s="1" t="n">
        <v>43686</v>
      </c>
      <c r="C28" s="1" t="n">
        <v>45639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39322-2019</t>
        </is>
      </c>
      <c r="B29" s="1" t="n">
        <v>43690</v>
      </c>
      <c r="C29" s="1" t="n">
        <v>45639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39468-2019</t>
        </is>
      </c>
      <c r="B30" s="1" t="n">
        <v>43691</v>
      </c>
      <c r="C30" s="1" t="n">
        <v>45639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39469-2019</t>
        </is>
      </c>
      <c r="B31" s="1" t="n">
        <v>43691</v>
      </c>
      <c r="C31" s="1" t="n">
        <v>45639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44836-2019</t>
        </is>
      </c>
      <c r="B32" s="1" t="n">
        <v>43712</v>
      </c>
      <c r="C32" s="1" t="n">
        <v>45639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54389-2019</t>
        </is>
      </c>
      <c r="B33" s="1" t="n">
        <v>43747</v>
      </c>
      <c r="C33" s="1" t="n">
        <v>45639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54398-2019</t>
        </is>
      </c>
      <c r="B34" s="1" t="n">
        <v>43754</v>
      </c>
      <c r="C34" s="1" t="n">
        <v>45639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54423-2019</t>
        </is>
      </c>
      <c r="B35" s="1" t="n">
        <v>43754</v>
      </c>
      <c r="C35" s="1" t="n">
        <v>45639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54421-2019</t>
        </is>
      </c>
      <c r="B36" s="1" t="n">
        <v>43754</v>
      </c>
      <c r="C36" s="1" t="n">
        <v>45639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54404-2019</t>
        </is>
      </c>
      <c r="B37" s="1" t="n">
        <v>43754</v>
      </c>
      <c r="C37" s="1" t="n">
        <v>45639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54409-2019</t>
        </is>
      </c>
      <c r="B38" s="1" t="n">
        <v>43754</v>
      </c>
      <c r="C38" s="1" t="n">
        <v>45639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54711-2019</t>
        </is>
      </c>
      <c r="B39" s="1" t="n">
        <v>43755</v>
      </c>
      <c r="C39" s="1" t="n">
        <v>45639</v>
      </c>
      <c r="D39" t="inlineStr">
        <is>
          <t>ÖREBRO LÄN</t>
        </is>
      </c>
      <c r="E39" t="inlineStr">
        <is>
          <t>KARLSKOGA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56698-2019</t>
        </is>
      </c>
      <c r="B40" s="1" t="n">
        <v>43763</v>
      </c>
      <c r="C40" s="1" t="n">
        <v>45639</v>
      </c>
      <c r="D40" t="inlineStr">
        <is>
          <t>ÖREBRO LÄN</t>
        </is>
      </c>
      <c r="E40" t="inlineStr">
        <is>
          <t>KARLSKOGA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62313-2019</t>
        </is>
      </c>
      <c r="B41" s="1" t="n">
        <v>43788</v>
      </c>
      <c r="C41" s="1" t="n">
        <v>45639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62317-2019</t>
        </is>
      </c>
      <c r="B42" s="1" t="n">
        <v>43788</v>
      </c>
      <c r="C42" s="1" t="n">
        <v>45639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67800-2019</t>
        </is>
      </c>
      <c r="B43" s="1" t="n">
        <v>43815</v>
      </c>
      <c r="C43" s="1" t="n">
        <v>45639</v>
      </c>
      <c r="D43" t="inlineStr">
        <is>
          <t>ÖREBRO LÄN</t>
        </is>
      </c>
      <c r="E43" t="inlineStr">
        <is>
          <t>KARLSKOGA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2134-2020</t>
        </is>
      </c>
      <c r="B44" s="1" t="n">
        <v>43839</v>
      </c>
      <c r="C44" s="1" t="n">
        <v>45639</v>
      </c>
      <c r="D44" t="inlineStr">
        <is>
          <t>ÖREBRO LÄN</t>
        </is>
      </c>
      <c r="E44" t="inlineStr">
        <is>
          <t>KARLSKOGA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4209-2020</t>
        </is>
      </c>
      <c r="B45" s="1" t="n">
        <v>43857</v>
      </c>
      <c r="C45" s="1" t="n">
        <v>45639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6064-2020</t>
        </is>
      </c>
      <c r="B46" s="1" t="n">
        <v>43865</v>
      </c>
      <c r="C46" s="1" t="n">
        <v>45639</v>
      </c>
      <c r="D46" t="inlineStr">
        <is>
          <t>ÖREBRO LÄN</t>
        </is>
      </c>
      <c r="E46" t="inlineStr">
        <is>
          <t>KARLSKOGA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6014-2020</t>
        </is>
      </c>
      <c r="B47" s="1" t="n">
        <v>43865</v>
      </c>
      <c r="C47" s="1" t="n">
        <v>45639</v>
      </c>
      <c r="D47" t="inlineStr">
        <is>
          <t>ÖREBRO LÄN</t>
        </is>
      </c>
      <c r="E47" t="inlineStr">
        <is>
          <t>KARLSKOGA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6081-2020</t>
        </is>
      </c>
      <c r="B48" s="1" t="n">
        <v>43865</v>
      </c>
      <c r="C48" s="1" t="n">
        <v>45639</v>
      </c>
      <c r="D48" t="inlineStr">
        <is>
          <t>ÖREBRO LÄN</t>
        </is>
      </c>
      <c r="E48" t="inlineStr">
        <is>
          <t>KARLSKOGA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6089-2020</t>
        </is>
      </c>
      <c r="B49" s="1" t="n">
        <v>43865</v>
      </c>
      <c r="C49" s="1" t="n">
        <v>45639</v>
      </c>
      <c r="D49" t="inlineStr">
        <is>
          <t>ÖREBRO LÄN</t>
        </is>
      </c>
      <c r="E49" t="inlineStr">
        <is>
          <t>KARLSKOGA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9712-2020</t>
        </is>
      </c>
      <c r="B50" s="1" t="n">
        <v>43881</v>
      </c>
      <c r="C50" s="1" t="n">
        <v>45639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10724-2020</t>
        </is>
      </c>
      <c r="B51" s="1" t="n">
        <v>43885</v>
      </c>
      <c r="C51" s="1" t="n">
        <v>45639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15167-2020</t>
        </is>
      </c>
      <c r="B52" s="1" t="n">
        <v>43912</v>
      </c>
      <c r="C52" s="1" t="n">
        <v>45639</v>
      </c>
      <c r="D52" t="inlineStr">
        <is>
          <t>ÖREBRO LÄN</t>
        </is>
      </c>
      <c r="E52" t="inlineStr">
        <is>
          <t>KARLSKOGA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15168-2020</t>
        </is>
      </c>
      <c r="B53" s="1" t="n">
        <v>43912</v>
      </c>
      <c r="C53" s="1" t="n">
        <v>45639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15170-2020</t>
        </is>
      </c>
      <c r="B54" s="1" t="n">
        <v>43912</v>
      </c>
      <c r="C54" s="1" t="n">
        <v>45639</v>
      </c>
      <c r="D54" t="inlineStr">
        <is>
          <t>ÖREBRO LÄN</t>
        </is>
      </c>
      <c r="E54" t="inlineStr">
        <is>
          <t>KARLSKOGA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16186-2020</t>
        </is>
      </c>
      <c r="B55" s="1" t="n">
        <v>43917</v>
      </c>
      <c r="C55" s="1" t="n">
        <v>45639</v>
      </c>
      <c r="D55" t="inlineStr">
        <is>
          <t>ÖREBRO LÄN</t>
        </is>
      </c>
      <c r="E55" t="inlineStr">
        <is>
          <t>KARLSKOGA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16185-2020</t>
        </is>
      </c>
      <c r="B56" s="1" t="n">
        <v>43917</v>
      </c>
      <c r="C56" s="1" t="n">
        <v>45639</v>
      </c>
      <c r="D56" t="inlineStr">
        <is>
          <t>ÖREBRO LÄN</t>
        </is>
      </c>
      <c r="E56" t="inlineStr">
        <is>
          <t>KARLSKOGA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16192-2020</t>
        </is>
      </c>
      <c r="B57" s="1" t="n">
        <v>43917</v>
      </c>
      <c r="C57" s="1" t="n">
        <v>45639</v>
      </c>
      <c r="D57" t="inlineStr">
        <is>
          <t>ÖREBRO LÄN</t>
        </is>
      </c>
      <c r="E57" t="inlineStr">
        <is>
          <t>KARLSKOGA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16693-2020</t>
        </is>
      </c>
      <c r="B58" s="1" t="n">
        <v>43920</v>
      </c>
      <c r="C58" s="1" t="n">
        <v>45639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18663-2020</t>
        </is>
      </c>
      <c r="B59" s="1" t="n">
        <v>43930</v>
      </c>
      <c r="C59" s="1" t="n">
        <v>45639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22354-2020</t>
        </is>
      </c>
      <c r="B60" s="1" t="n">
        <v>43957</v>
      </c>
      <c r="C60" s="1" t="n">
        <v>45639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27293-2020</t>
        </is>
      </c>
      <c r="B61" s="1" t="n">
        <v>43992</v>
      </c>
      <c r="C61" s="1" t="n">
        <v>45639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31167-2020</t>
        </is>
      </c>
      <c r="B62" s="1" t="n">
        <v>44012</v>
      </c>
      <c r="C62" s="1" t="n">
        <v>45639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31156-2020</t>
        </is>
      </c>
      <c r="B63" s="1" t="n">
        <v>44012</v>
      </c>
      <c r="C63" s="1" t="n">
        <v>45639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38739-2020</t>
        </is>
      </c>
      <c r="B64" s="1" t="n">
        <v>44061</v>
      </c>
      <c r="C64" s="1" t="n">
        <v>45639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39825-2020</t>
        </is>
      </c>
      <c r="B65" s="1" t="n">
        <v>44067</v>
      </c>
      <c r="C65" s="1" t="n">
        <v>45639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45146-2020</t>
        </is>
      </c>
      <c r="B66" s="1" t="n">
        <v>44084</v>
      </c>
      <c r="C66" s="1" t="n">
        <v>45639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45639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45563-2020</t>
        </is>
      </c>
      <c r="B68" s="1" t="n">
        <v>44090</v>
      </c>
      <c r="C68" s="1" t="n">
        <v>45639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45570-2020</t>
        </is>
      </c>
      <c r="B69" s="1" t="n">
        <v>44090</v>
      </c>
      <c r="C69" s="1" t="n">
        <v>45639</v>
      </c>
      <c r="D69" t="inlineStr">
        <is>
          <t>ÖREBRO LÄN</t>
        </is>
      </c>
      <c r="E69" t="inlineStr">
        <is>
          <t>KARLSKOGA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48373-2020</t>
        </is>
      </c>
      <c r="B70" s="1" t="n">
        <v>44097</v>
      </c>
      <c r="C70" s="1" t="n">
        <v>45639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53947-2020</t>
        </is>
      </c>
      <c r="B71" s="1" t="n">
        <v>44125</v>
      </c>
      <c r="C71" s="1" t="n">
        <v>45639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53946-2020</t>
        </is>
      </c>
      <c r="B72" s="1" t="n">
        <v>44125</v>
      </c>
      <c r="C72" s="1" t="n">
        <v>45639</v>
      </c>
      <c r="D72" t="inlineStr">
        <is>
          <t>ÖREBRO LÄN</t>
        </is>
      </c>
      <c r="E72" t="inlineStr">
        <is>
          <t>KARLSKOGA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53944-2020</t>
        </is>
      </c>
      <c r="B73" s="1" t="n">
        <v>44125</v>
      </c>
      <c r="C73" s="1" t="n">
        <v>45639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54439-2020</t>
        </is>
      </c>
      <c r="B74" s="1" t="n">
        <v>44126</v>
      </c>
      <c r="C74" s="1" t="n">
        <v>45639</v>
      </c>
      <c r="D74" t="inlineStr">
        <is>
          <t>ÖREBRO LÄN</t>
        </is>
      </c>
      <c r="E74" t="inlineStr">
        <is>
          <t>KARLSKOGA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55279-2020</t>
        </is>
      </c>
      <c r="B75" s="1" t="n">
        <v>44130</v>
      </c>
      <c r="C75" s="1" t="n">
        <v>45639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57297-2020</t>
        </is>
      </c>
      <c r="B76" s="1" t="n">
        <v>44139</v>
      </c>
      <c r="C76" s="1" t="n">
        <v>45639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57287-2020</t>
        </is>
      </c>
      <c r="B77" s="1" t="n">
        <v>44139</v>
      </c>
      <c r="C77" s="1" t="n">
        <v>45639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57298-2020</t>
        </is>
      </c>
      <c r="B78" s="1" t="n">
        <v>44139</v>
      </c>
      <c r="C78" s="1" t="n">
        <v>45639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57283-2020</t>
        </is>
      </c>
      <c r="B79" s="1" t="n">
        <v>44139</v>
      </c>
      <c r="C79" s="1" t="n">
        <v>45639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57289-2020</t>
        </is>
      </c>
      <c r="B80" s="1" t="n">
        <v>44139</v>
      </c>
      <c r="C80" s="1" t="n">
        <v>45639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57285-2020</t>
        </is>
      </c>
      <c r="B81" s="1" t="n">
        <v>44139</v>
      </c>
      <c r="C81" s="1" t="n">
        <v>45639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57379-2020</t>
        </is>
      </c>
      <c r="B82" s="1" t="n">
        <v>44140</v>
      </c>
      <c r="C82" s="1" t="n">
        <v>45639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57378-2020</t>
        </is>
      </c>
      <c r="B83" s="1" t="n">
        <v>44140</v>
      </c>
      <c r="C83" s="1" t="n">
        <v>45639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57380-2020</t>
        </is>
      </c>
      <c r="B84" s="1" t="n">
        <v>44140</v>
      </c>
      <c r="C84" s="1" t="n">
        <v>45639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57655-2020</t>
        </is>
      </c>
      <c r="B85" s="1" t="n">
        <v>44140</v>
      </c>
      <c r="C85" s="1" t="n">
        <v>45639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58273-2020</t>
        </is>
      </c>
      <c r="B86" s="1" t="n">
        <v>44141</v>
      </c>
      <c r="C86" s="1" t="n">
        <v>45639</v>
      </c>
      <c r="D86" t="inlineStr">
        <is>
          <t>ÖREBRO LÄN</t>
        </is>
      </c>
      <c r="E86" t="inlineStr">
        <is>
          <t>KARLSKOGA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58020-2020</t>
        </is>
      </c>
      <c r="B87" s="1" t="n">
        <v>44144</v>
      </c>
      <c r="C87" s="1" t="n">
        <v>45639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45639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45639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45639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45639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45639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45639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45639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45639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45639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45639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45639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45639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45639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45639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45639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45639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45639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45639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45639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45639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45639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45639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45639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45639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45639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45639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45639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45639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45639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45639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45639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45639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45639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45639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45639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45639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45639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45639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45639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45639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45639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45639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45639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45639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45639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45639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45639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45639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45639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45639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45639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45639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45639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45639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45639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45639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45639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45639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45639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45639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45639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45639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45639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45639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45639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45639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45639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45639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45639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45639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45639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45639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45639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45639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45639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45639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45639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45639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45639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45639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45639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45639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45639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45639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45639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45639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45639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45639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45639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45639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45639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45639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45639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45639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45639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45639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45639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45639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45639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45639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45639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45639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45639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45639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45639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45639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45639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45639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45639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45639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45639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45639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45639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45639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45639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45639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45639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45639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45639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45639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45639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45639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45639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45639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45639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45639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45639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45639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45639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45639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45639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45639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45639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45639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45639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45639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45639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45639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45639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45639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45639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45639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45639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45639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45639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45639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45639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45639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45639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45639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45639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45639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45639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45639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45639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45639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45639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45639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45639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45639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45639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45639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45639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45639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45639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45639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45639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45639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45639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45639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45639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45639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45639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45639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45639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45639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45639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45639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45639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45639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45639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45639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45639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45639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45639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45639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45639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45639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45639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45639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45639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45639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45639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45639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45639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45639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45639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45639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45639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45639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45639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45639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45639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45639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45639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45639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45639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45639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45639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45639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45639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45639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45639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45639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45639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45639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45639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45639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45639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45639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45639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45639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45639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45639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45639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45639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45639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45639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45639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45639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45639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45639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45639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45639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45639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45639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45639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45639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45639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45639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45639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45639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45639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45639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45639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45639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45639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45639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45639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45639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45639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45639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45639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45639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45639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45639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45639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52826-2024</t>
        </is>
      </c>
      <c r="B345" s="1" t="n">
        <v>45610</v>
      </c>
      <c r="C345" s="1" t="n">
        <v>45639</v>
      </c>
      <c r="D345" t="inlineStr">
        <is>
          <t>ÖREBRO LÄN</t>
        </is>
      </c>
      <c r="E345" t="inlineStr">
        <is>
          <t>KARLSKOGA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45639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45639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45639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53620-2024</t>
        </is>
      </c>
      <c r="B349" s="1" t="n">
        <v>45614</v>
      </c>
      <c r="C349" s="1" t="n">
        <v>45639</v>
      </c>
      <c r="D349" t="inlineStr">
        <is>
          <t>ÖREBRO LÄN</t>
        </is>
      </c>
      <c r="E349" t="inlineStr">
        <is>
          <t>KARLSKOGA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45639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45639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45639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56313-2024</t>
        </is>
      </c>
      <c r="B353" s="1" t="n">
        <v>45624</v>
      </c>
      <c r="C353" s="1" t="n">
        <v>45639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56427-2024</t>
        </is>
      </c>
      <c r="B354" s="1" t="n">
        <v>45624</v>
      </c>
      <c r="C354" s="1" t="n">
        <v>45639</v>
      </c>
      <c r="D354" t="inlineStr">
        <is>
          <t>ÖREBRO LÄN</t>
        </is>
      </c>
      <c r="E354" t="inlineStr">
        <is>
          <t>KARLSKOGA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56448-2024</t>
        </is>
      </c>
      <c r="B355" s="1" t="n">
        <v>45625</v>
      </c>
      <c r="C355" s="1" t="n">
        <v>45639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58388-2024</t>
        </is>
      </c>
      <c r="B356" s="1" t="n">
        <v>45633</v>
      </c>
      <c r="C356" s="1" t="n">
        <v>45639</v>
      </c>
      <c r="D356" t="inlineStr">
        <is>
          <t>ÖREBRO LÄN</t>
        </is>
      </c>
      <c r="E356" t="inlineStr">
        <is>
          <t>KARLSKOGA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58390-2024</t>
        </is>
      </c>
      <c r="B357" s="1" t="n">
        <v>45633</v>
      </c>
      <c r="C357" s="1" t="n">
        <v>45639</v>
      </c>
      <c r="D357" t="inlineStr">
        <is>
          <t>ÖREBRO LÄN</t>
        </is>
      </c>
      <c r="E357" t="inlineStr">
        <is>
          <t>KARLSKOGA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59025-2024</t>
        </is>
      </c>
      <c r="B358" s="1" t="n">
        <v>45636</v>
      </c>
      <c r="C358" s="1" t="n">
        <v>45639</v>
      </c>
      <c r="D358" t="inlineStr">
        <is>
          <t>ÖREBRO LÄN</t>
        </is>
      </c>
      <c r="E358" t="inlineStr">
        <is>
          <t>KARLSKOGA</t>
        </is>
      </c>
      <c r="F358" t="inlineStr">
        <is>
          <t>Kyrkan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59060-2024</t>
        </is>
      </c>
      <c r="B359" s="1" t="n">
        <v>45636</v>
      </c>
      <c r="C359" s="1" t="n">
        <v>45639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2024-12-13T15:28:31Z</dcterms:created>
  <dcterms:modified xmlns:dcterms="http://purl.org/dc/terms/" xmlns:xsi="http://www.w3.org/2001/XMLSchema-instance" xsi:type="dcterms:W3CDTF">2024-12-13T15:28:32Z</dcterms:modified>
</cp:coreProperties>
</file>