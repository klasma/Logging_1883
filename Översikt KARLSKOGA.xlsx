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46133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46133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46133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46133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63185-2025</t>
        </is>
      </c>
      <c r="B14" s="1" t="n">
        <v>46010.43457175926</v>
      </c>
      <c r="C14" s="1" t="n">
        <v>46133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63185-2025 artfynd.xlsx", "A 63185-2025")</f>
        <v/>
      </c>
      <c r="T14">
        <f>HYPERLINK("https://klasma.github.io/Logging_1883/kartor/A 63185-2025 karta.png", "A 63185-2025")</f>
        <v/>
      </c>
      <c r="V14">
        <f>HYPERLINK("https://klasma.github.io/Logging_1883/klagomål/A 63185-2025 FSC-klagomål.docx", "A 63185-2025")</f>
        <v/>
      </c>
      <c r="W14">
        <f>HYPERLINK("https://klasma.github.io/Logging_1883/klagomålsmail/A 63185-2025 FSC-klagomål mail.docx", "A 63185-2025")</f>
        <v/>
      </c>
      <c r="X14">
        <f>HYPERLINK("https://klasma.github.io/Logging_1883/tillsyn/A 63185-2025 tillsynsbegäran.docx", "A 63185-2025")</f>
        <v/>
      </c>
      <c r="Y14">
        <f>HYPERLINK("https://klasma.github.io/Logging_1883/tillsynsmail/A 63185-2025 tillsynsbegäran mail.docx", "A 63185-2025")</f>
        <v/>
      </c>
      <c r="Z14">
        <f>HYPERLINK("https://klasma.github.io/Logging_1883/fåglar/A 63185-2025 prioriterade fågelarter.docx", "A 63185-2025")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46133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46133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32081-2025</t>
        </is>
      </c>
      <c r="B17" s="1" t="n">
        <v>45835.45203703704</v>
      </c>
      <c r="C17" s="1" t="n">
        <v>46133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HYPERLINK("https://klasma.github.io/Logging_1883/artfynd/A 32081-2025 artfynd.xlsx", "A 32081-2025")</f>
        <v/>
      </c>
      <c r="T17">
        <f>HYPERLINK("https://klasma.github.io/Logging_1883/kartor/A 32081-2025 karta.png", "A 32081-2025")</f>
        <v/>
      </c>
      <c r="V17">
        <f>HYPERLINK("https://klasma.github.io/Logging_1883/klagomål/A 32081-2025 FSC-klagomål.docx", "A 32081-2025")</f>
        <v/>
      </c>
      <c r="W17">
        <f>HYPERLINK("https://klasma.github.io/Logging_1883/klagomålsmail/A 32081-2025 FSC-klagomål mail.docx", "A 32081-2025")</f>
        <v/>
      </c>
      <c r="X17">
        <f>HYPERLINK("https://klasma.github.io/Logging_1883/tillsyn/A 32081-2025 tillsynsbegäran.docx", "A 32081-2025")</f>
        <v/>
      </c>
      <c r="Y17">
        <f>HYPERLINK("https://klasma.github.io/Logging_1883/tillsynsmail/A 32081-2025 tillsynsbegäran mail.docx", "A 32081-2025")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46133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52375-2025</t>
        </is>
      </c>
      <c r="B19" s="1" t="n">
        <v>45953.94430555555</v>
      </c>
      <c r="C19" s="1" t="n">
        <v>46133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HYPERLINK("https://klasma.github.io/Logging_1883/artfynd/A 52375-2025 artfynd.xlsx", "A 52375-2025")</f>
        <v/>
      </c>
      <c r="T19">
        <f>HYPERLINK("https://klasma.github.io/Logging_1883/kartor/A 52375-2025 karta.png", "A 52375-2025")</f>
        <v/>
      </c>
      <c r="V19">
        <f>HYPERLINK("https://klasma.github.io/Logging_1883/klagomål/A 52375-2025 FSC-klagomål.docx", "A 52375-2025")</f>
        <v/>
      </c>
      <c r="W19">
        <f>HYPERLINK("https://klasma.github.io/Logging_1883/klagomålsmail/A 52375-2025 FSC-klagomål mail.docx", "A 52375-2025")</f>
        <v/>
      </c>
      <c r="X19">
        <f>HYPERLINK("https://klasma.github.io/Logging_1883/tillsyn/A 52375-2025 tillsynsbegäran.docx", "A 52375-2025")</f>
        <v/>
      </c>
      <c r="Y19">
        <f>HYPERLINK("https://klasma.github.io/Logging_1883/tillsynsmail/A 52375-2025 tillsynsbegäran mail.docx", "A 52375-2025")</f>
        <v/>
      </c>
    </row>
    <row r="20" ht="15" customHeight="1">
      <c r="A20" t="inlineStr">
        <is>
          <t>A 12690-2026</t>
        </is>
      </c>
      <c r="B20" s="1" t="n">
        <v>46091.5705787037</v>
      </c>
      <c r="C20" s="1" t="n">
        <v>46133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HYPERLINK("https://klasma.github.io/Logging_1883/artfynd/A 12690-2026 artfynd.xlsx", "A 12690-2026")</f>
        <v/>
      </c>
      <c r="T20">
        <f>HYPERLINK("https://klasma.github.io/Logging_1883/kartor/A 12690-2026 karta.png", "A 12690-2026")</f>
        <v/>
      </c>
      <c r="V20">
        <f>HYPERLINK("https://klasma.github.io/Logging_1883/klagomål/A 12690-2026 FSC-klagomål.docx", "A 12690-2026")</f>
        <v/>
      </c>
      <c r="W20">
        <f>HYPERLINK("https://klasma.github.io/Logging_1883/klagomålsmail/A 12690-2026 FSC-klagomål mail.docx", "A 12690-2026")</f>
        <v/>
      </c>
      <c r="X20">
        <f>HYPERLINK("https://klasma.github.io/Logging_1883/tillsyn/A 12690-2026 tillsynsbegäran.docx", "A 12690-2026")</f>
        <v/>
      </c>
      <c r="Y20">
        <f>HYPERLINK("https://klasma.github.io/Logging_1883/tillsynsmail/A 12690-2026 tillsynsbegäran mail.docx", "A 12690-2026")</f>
        <v/>
      </c>
    </row>
    <row r="21" ht="15" customHeight="1">
      <c r="A21" t="inlineStr">
        <is>
          <t>A 59512-2025</t>
        </is>
      </c>
      <c r="B21" s="1" t="n">
        <v>45989.64748842592</v>
      </c>
      <c r="C21" s="1" t="n">
        <v>46133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59512-2025 artfynd.xlsx", "A 59512-2025")</f>
        <v/>
      </c>
      <c r="T21">
        <f>HYPERLINK("https://klasma.github.io/Logging_1883/kartor/A 59512-2025 karta.png", "A 59512-2025")</f>
        <v/>
      </c>
      <c r="V21">
        <f>HYPERLINK("https://klasma.github.io/Logging_1883/klagomål/A 59512-2025 FSC-klagomål.docx", "A 59512-2025")</f>
        <v/>
      </c>
      <c r="W21">
        <f>HYPERLINK("https://klasma.github.io/Logging_1883/klagomålsmail/A 59512-2025 FSC-klagomål mail.docx", "A 59512-2025")</f>
        <v/>
      </c>
      <c r="X21">
        <f>HYPERLINK("https://klasma.github.io/Logging_1883/tillsyn/A 59512-2025 tillsynsbegäran.docx", "A 59512-2025")</f>
        <v/>
      </c>
      <c r="Y21">
        <f>HYPERLINK("https://klasma.github.io/Logging_1883/tillsynsmail/A 59512-2025 tillsynsbegäran mail.docx", "A 59512-2025")</f>
        <v/>
      </c>
    </row>
    <row r="22" ht="15" customHeight="1">
      <c r="A22" t="inlineStr">
        <is>
          <t>A 59511-2025</t>
        </is>
      </c>
      <c r="B22" s="1" t="n">
        <v>45989.64694444444</v>
      </c>
      <c r="C22" s="1" t="n">
        <v>46133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HYPERLINK("https://klasma.github.io/Logging_1883/artfynd/A 59511-2025 artfynd.xlsx", "A 59511-2025")</f>
        <v/>
      </c>
      <c r="T22">
        <f>HYPERLINK("https://klasma.github.io/Logging_1883/kartor/A 59511-2025 karta.png", "A 59511-2025")</f>
        <v/>
      </c>
      <c r="V22">
        <f>HYPERLINK("https://klasma.github.io/Logging_1883/klagomål/A 59511-2025 FSC-klagomål.docx", "A 59511-2025")</f>
        <v/>
      </c>
      <c r="W22">
        <f>HYPERLINK("https://klasma.github.io/Logging_1883/klagomålsmail/A 59511-2025 FSC-klagomål mail.docx", "A 59511-2025")</f>
        <v/>
      </c>
      <c r="X22">
        <f>HYPERLINK("https://klasma.github.io/Logging_1883/tillsyn/A 59511-2025 tillsynsbegäran.docx", "A 59511-2025")</f>
        <v/>
      </c>
      <c r="Y22">
        <f>HYPERLINK("https://klasma.github.io/Logging_1883/tillsynsmail/A 59511-2025 tillsynsbegäran mail.docx", "A 59511-2025")</f>
        <v/>
      </c>
    </row>
    <row r="23" ht="15" customHeight="1">
      <c r="A23" t="inlineStr">
        <is>
          <t>A 63187-2025</t>
        </is>
      </c>
      <c r="B23" s="1" t="n">
        <v>46010.44355324074</v>
      </c>
      <c r="C23" s="1" t="n">
        <v>46133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63187-2025 artfynd.xlsx", "A 63187-2025")</f>
        <v/>
      </c>
      <c r="T23">
        <f>HYPERLINK("https://klasma.github.io/Logging_1883/kartor/A 63187-2025 karta.png", "A 63187-2025")</f>
        <v/>
      </c>
      <c r="V23">
        <f>HYPERLINK("https://klasma.github.io/Logging_1883/klagomål/A 63187-2025 FSC-klagomål.docx", "A 63187-2025")</f>
        <v/>
      </c>
      <c r="W23">
        <f>HYPERLINK("https://klasma.github.io/Logging_1883/klagomålsmail/A 63187-2025 FSC-klagomål mail.docx", "A 63187-2025")</f>
        <v/>
      </c>
      <c r="X23">
        <f>HYPERLINK("https://klasma.github.io/Logging_1883/tillsyn/A 63187-2025 tillsynsbegäran.docx", "A 63187-2025")</f>
        <v/>
      </c>
      <c r="Y23">
        <f>HYPERLINK("https://klasma.github.io/Logging_1883/tillsynsmail/A 63187-2025 tillsynsbegäran mail.docx", "A 63187-2025")</f>
        <v/>
      </c>
      <c r="Z23">
        <f>HYPERLINK("https://klasma.github.io/Logging_1883/fåglar/A 63187-2025 prioriterade fågelarter.docx", "A 63187-2025")</f>
        <v/>
      </c>
    </row>
    <row r="24" ht="15" customHeight="1">
      <c r="A24" t="inlineStr">
        <is>
          <t>A 19233-2026</t>
        </is>
      </c>
      <c r="B24" s="1" t="n">
        <v>46132.65150462963</v>
      </c>
      <c r="C24" s="1" t="n">
        <v>46133</v>
      </c>
      <c r="D24" t="inlineStr">
        <is>
          <t>ÖREBRO LÄN</t>
        </is>
      </c>
      <c r="E24" t="inlineStr">
        <is>
          <t>KARLSKOGA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19233-2026 artfynd.xlsx", "A 19233-2026")</f>
        <v/>
      </c>
      <c r="T24">
        <f>HYPERLINK("https://klasma.github.io/Logging_1883/kartor/A 19233-2026 karta.png", "A 19233-2026")</f>
        <v/>
      </c>
      <c r="V24">
        <f>HYPERLINK("https://klasma.github.io/Logging_1883/klagomål/A 19233-2026 FSC-klagomål.docx", "A 19233-2026")</f>
        <v/>
      </c>
      <c r="W24">
        <f>HYPERLINK("https://klasma.github.io/Logging_1883/klagomålsmail/A 19233-2026 FSC-klagomål mail.docx", "A 19233-2026")</f>
        <v/>
      </c>
      <c r="X24">
        <f>HYPERLINK("https://klasma.github.io/Logging_1883/tillsyn/A 19233-2026 tillsynsbegäran.docx", "A 19233-2026")</f>
        <v/>
      </c>
      <c r="Y24">
        <f>HYPERLINK("https://klasma.github.io/Logging_1883/tillsynsmail/A 19233-2026 tillsynsbegäran mail.docx", "A 19233-2026")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46133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40528-2024</t>
        </is>
      </c>
      <c r="B26" s="1" t="n">
        <v>45555.60616898148</v>
      </c>
      <c r="C26" s="1" t="n">
        <v>46133</v>
      </c>
      <c r="D26" t="inlineStr">
        <is>
          <t>ÖREBRO LÄN</t>
        </is>
      </c>
      <c r="E26" t="inlineStr">
        <is>
          <t>KARLSKOGA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HYPERLINK("https://klasma.github.io/Logging_1883/artfynd/A 40528-2024 artfynd.xlsx", "A 40528-2024")</f>
        <v/>
      </c>
      <c r="T26">
        <f>HYPERLINK("https://klasma.github.io/Logging_1883/kartor/A 40528-2024 karta.png", "A 40528-2024")</f>
        <v/>
      </c>
      <c r="V26">
        <f>HYPERLINK("https://klasma.github.io/Logging_1883/klagomål/A 40528-2024 FSC-klagomål.docx", "A 40528-2024")</f>
        <v/>
      </c>
      <c r="W26">
        <f>HYPERLINK("https://klasma.github.io/Logging_1883/klagomålsmail/A 40528-2024 FSC-klagomål mail.docx", "A 40528-2024")</f>
        <v/>
      </c>
      <c r="X26">
        <f>HYPERLINK("https://klasma.github.io/Logging_1883/tillsyn/A 40528-2024 tillsynsbegäran.docx", "A 40528-2024")</f>
        <v/>
      </c>
      <c r="Y26">
        <f>HYPERLINK("https://klasma.github.io/Logging_1883/tillsynsmail/A 40528-2024 tillsynsbegäran mail.docx", "A 40528-2024")</f>
        <v/>
      </c>
    </row>
    <row r="27" ht="15" customHeight="1">
      <c r="A27" t="inlineStr">
        <is>
          <t>A 73701-2021</t>
        </is>
      </c>
      <c r="B27" s="1" t="n">
        <v>44552.49849537037</v>
      </c>
      <c r="C27" s="1" t="n">
        <v>46133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64133-2021</t>
        </is>
      </c>
      <c r="B28" s="1" t="n">
        <v>44510.50043981482</v>
      </c>
      <c r="C28" s="1" t="n">
        <v>46133</v>
      </c>
      <c r="D28" t="inlineStr">
        <is>
          <t>ÖREBRO LÄN</t>
        </is>
      </c>
      <c r="E28" t="inlineStr">
        <is>
          <t>KARLSKOGA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46133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46133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44448.43530092593</v>
      </c>
      <c r="C31" s="1" t="n">
        <v>46133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21035-2021</t>
        </is>
      </c>
      <c r="B32" s="1" t="n">
        <v>44319</v>
      </c>
      <c r="C32" s="1" t="n">
        <v>46133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25548-2022</t>
        </is>
      </c>
      <c r="B33" s="1" t="n">
        <v>44732.61756944445</v>
      </c>
      <c r="C33" s="1" t="n">
        <v>46133</v>
      </c>
      <c r="D33" t="inlineStr">
        <is>
          <t>ÖREBRO LÄN</t>
        </is>
      </c>
      <c r="E33" t="inlineStr">
        <is>
          <t>KARLSKOGA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25116-2021</t>
        </is>
      </c>
      <c r="B34" s="1" t="n">
        <v>44341.71480324074</v>
      </c>
      <c r="C34" s="1" t="n">
        <v>46133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50991-2021</t>
        </is>
      </c>
      <c r="B35" s="1" t="n">
        <v>44460.7434375</v>
      </c>
      <c r="C35" s="1" t="n">
        <v>46133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32408-2021</t>
        </is>
      </c>
      <c r="B36" s="1" t="n">
        <v>44371.6544212963</v>
      </c>
      <c r="C36" s="1" t="n">
        <v>46133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44723-2021</t>
        </is>
      </c>
      <c r="B37" s="1" t="n">
        <v>44438</v>
      </c>
      <c r="C37" s="1" t="n">
        <v>46133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46133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46133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46133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46133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46133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46133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46133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46133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46133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46133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46133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46133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46133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21612-2022</t>
        </is>
      </c>
      <c r="B51" s="1" t="n">
        <v>44706.67246527778</v>
      </c>
      <c r="C51" s="1" t="n">
        <v>46133</v>
      </c>
      <c r="D51" t="inlineStr">
        <is>
          <t>ÖREBRO LÄN</t>
        </is>
      </c>
      <c r="E51" t="inlineStr">
        <is>
          <t>KARLSKOGA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21622-2022</t>
        </is>
      </c>
      <c r="B52" s="1" t="n">
        <v>44706.68547453704</v>
      </c>
      <c r="C52" s="1" t="n">
        <v>46133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45117-2021</t>
        </is>
      </c>
      <c r="B53" s="1" t="n">
        <v>44439</v>
      </c>
      <c r="C53" s="1" t="n">
        <v>46133</v>
      </c>
      <c r="D53" t="inlineStr">
        <is>
          <t>ÖREBRO LÄN</t>
        </is>
      </c>
      <c r="E53" t="inlineStr">
        <is>
          <t>KARLSKOGA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46133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58390-2024</t>
        </is>
      </c>
      <c r="B55" s="1" t="n">
        <v>45633.6719212963</v>
      </c>
      <c r="C55" s="1" t="n">
        <v>46133</v>
      </c>
      <c r="D55" t="inlineStr">
        <is>
          <t>ÖREBRO LÄN</t>
        </is>
      </c>
      <c r="E55" t="inlineStr">
        <is>
          <t>KARLSKOGA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35471-2024</t>
        </is>
      </c>
      <c r="B56" s="1" t="n">
        <v>45531.46973379629</v>
      </c>
      <c r="C56" s="1" t="n">
        <v>46133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4587-2025</t>
        </is>
      </c>
      <c r="B57" s="1" t="n">
        <v>45687.51668981482</v>
      </c>
      <c r="C57" s="1" t="n">
        <v>46133</v>
      </c>
      <c r="D57" t="inlineStr">
        <is>
          <t>ÖREBRO LÄN</t>
        </is>
      </c>
      <c r="E57" t="inlineStr">
        <is>
          <t>KARLSKOGA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61813-2024</t>
        </is>
      </c>
      <c r="B58" s="1" t="n">
        <v>45649.59596064815</v>
      </c>
      <c r="C58" s="1" t="n">
        <v>46133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4164-2022</t>
        </is>
      </c>
      <c r="B59" s="1" t="n">
        <v>44588</v>
      </c>
      <c r="C59" s="1" t="n">
        <v>46133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9712-2024</t>
        </is>
      </c>
      <c r="B60" s="1" t="n">
        <v>45362</v>
      </c>
      <c r="C60" s="1" t="n">
        <v>46133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46133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9510-2023</t>
        </is>
      </c>
      <c r="B62" s="1" t="n">
        <v>44981.64696759259</v>
      </c>
      <c r="C62" s="1" t="n">
        <v>46133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1309-2024</t>
        </is>
      </c>
      <c r="B63" s="1" t="n">
        <v>45303</v>
      </c>
      <c r="C63" s="1" t="n">
        <v>46133</v>
      </c>
      <c r="D63" t="inlineStr">
        <is>
          <t>ÖREBRO LÄN</t>
        </is>
      </c>
      <c r="E63" t="inlineStr">
        <is>
          <t>KARLSKOGA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3735-2024</t>
        </is>
      </c>
      <c r="B64" s="1" t="n">
        <v>45321</v>
      </c>
      <c r="C64" s="1" t="n">
        <v>46133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23308-2025</t>
        </is>
      </c>
      <c r="B65" s="1" t="n">
        <v>45791.6047800926</v>
      </c>
      <c r="C65" s="1" t="n">
        <v>46133</v>
      </c>
      <c r="D65" t="inlineStr">
        <is>
          <t>ÖREBRO LÄN</t>
        </is>
      </c>
      <c r="E65" t="inlineStr">
        <is>
          <t>KARLSKOGA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61788-2025</t>
        </is>
      </c>
      <c r="B66" s="1" t="n">
        <v>46002.68515046296</v>
      </c>
      <c r="C66" s="1" t="n">
        <v>46133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23716-2025</t>
        </is>
      </c>
      <c r="B67" s="1" t="n">
        <v>45793.39087962963</v>
      </c>
      <c r="C67" s="1" t="n">
        <v>46133</v>
      </c>
      <c r="D67" t="inlineStr">
        <is>
          <t>ÖREBRO LÄN</t>
        </is>
      </c>
      <c r="E67" t="inlineStr">
        <is>
          <t>KARLSKOGA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23717-2025</t>
        </is>
      </c>
      <c r="B68" s="1" t="n">
        <v>45793.39612268518</v>
      </c>
      <c r="C68" s="1" t="n">
        <v>46133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46133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46133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24099-2025</t>
        </is>
      </c>
      <c r="B71" s="1" t="n">
        <v>45796</v>
      </c>
      <c r="C71" s="1" t="n">
        <v>46133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35444-2024</t>
        </is>
      </c>
      <c r="B72" s="1" t="n">
        <v>45531.43599537037</v>
      </c>
      <c r="C72" s="1" t="n">
        <v>46133</v>
      </c>
      <c r="D72" t="inlineStr">
        <is>
          <t>ÖREBRO LÄN</t>
        </is>
      </c>
      <c r="E72" t="inlineStr">
        <is>
          <t>KARLSKOGA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17815-2025</t>
        </is>
      </c>
      <c r="B73" s="1" t="n">
        <v>45758.56148148148</v>
      </c>
      <c r="C73" s="1" t="n">
        <v>46133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23263-2022</t>
        </is>
      </c>
      <c r="B74" s="1" t="n">
        <v>44720.40815972222</v>
      </c>
      <c r="C74" s="1" t="n">
        <v>46133</v>
      </c>
      <c r="D74" t="inlineStr">
        <is>
          <t>ÖREBRO LÄN</t>
        </is>
      </c>
      <c r="E74" t="inlineStr">
        <is>
          <t>KARLSKOGA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41267-2025</t>
        </is>
      </c>
      <c r="B75" s="1" t="n">
        <v>45898.61796296296</v>
      </c>
      <c r="C75" s="1" t="n">
        <v>46133</v>
      </c>
      <c r="D75" t="inlineStr">
        <is>
          <t>ÖREBRO LÄN</t>
        </is>
      </c>
      <c r="E75" t="inlineStr">
        <is>
          <t>KARLSKOGA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47201-2023</t>
        </is>
      </c>
      <c r="B76" s="1" t="n">
        <v>45196</v>
      </c>
      <c r="C76" s="1" t="n">
        <v>46133</v>
      </c>
      <c r="D76" t="inlineStr">
        <is>
          <t>ÖREBRO LÄN</t>
        </is>
      </c>
      <c r="E76" t="inlineStr">
        <is>
          <t>KARLSKOGA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26653-2025</t>
        </is>
      </c>
      <c r="B77" s="1" t="n">
        <v>45810</v>
      </c>
      <c r="C77" s="1" t="n">
        <v>46133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61396-2023</t>
        </is>
      </c>
      <c r="B78" s="1" t="n">
        <v>45264.64989583333</v>
      </c>
      <c r="C78" s="1" t="n">
        <v>46133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8259-2025</t>
        </is>
      </c>
      <c r="B79" s="1" t="n">
        <v>45708.50091435185</v>
      </c>
      <c r="C79" s="1" t="n">
        <v>46133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46133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24116-2024</t>
        </is>
      </c>
      <c r="B81" s="1" t="n">
        <v>45456</v>
      </c>
      <c r="C81" s="1" t="n">
        <v>46133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64066-2025</t>
        </is>
      </c>
      <c r="B82" s="1" t="n">
        <v>46013</v>
      </c>
      <c r="C82" s="1" t="n">
        <v>46133</v>
      </c>
      <c r="D82" t="inlineStr">
        <is>
          <t>ÖREBRO LÄN</t>
        </is>
      </c>
      <c r="E82" t="inlineStr">
        <is>
          <t>KARLSKOGA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35930-2023</t>
        </is>
      </c>
      <c r="B83" s="1" t="n">
        <v>45148</v>
      </c>
      <c r="C83" s="1" t="n">
        <v>46133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63863-2023</t>
        </is>
      </c>
      <c r="B84" s="1" t="n">
        <v>45278.50163194445</v>
      </c>
      <c r="C84" s="1" t="n">
        <v>46133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63628-2025</t>
        </is>
      </c>
      <c r="B85" s="1" t="n">
        <v>46014.36813657408</v>
      </c>
      <c r="C85" s="1" t="n">
        <v>46133</v>
      </c>
      <c r="D85" t="inlineStr">
        <is>
          <t>ÖREBRO LÄN</t>
        </is>
      </c>
      <c r="E85" t="inlineStr">
        <is>
          <t>KARLSKOGA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23620-2024</t>
        </is>
      </c>
      <c r="B86" s="1" t="n">
        <v>45454</v>
      </c>
      <c r="C86" s="1" t="n">
        <v>46133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53647-2023</t>
        </is>
      </c>
      <c r="B87" s="1" t="n">
        <v>45230.6046875</v>
      </c>
      <c r="C87" s="1" t="n">
        <v>46133</v>
      </c>
      <c r="D87" t="inlineStr">
        <is>
          <t>ÖREBRO LÄN</t>
        </is>
      </c>
      <c r="E87" t="inlineStr">
        <is>
          <t>KARLSKOGA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39936-2024</t>
        </is>
      </c>
      <c r="B88" s="1" t="n">
        <v>45553.56512731482</v>
      </c>
      <c r="C88" s="1" t="n">
        <v>46133</v>
      </c>
      <c r="D88" t="inlineStr">
        <is>
          <t>ÖREBRO LÄN</t>
        </is>
      </c>
      <c r="E88" t="inlineStr">
        <is>
          <t>KARLSKOGA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43772-2025</t>
        </is>
      </c>
      <c r="B89" s="1" t="n">
        <v>45912.50550925926</v>
      </c>
      <c r="C89" s="1" t="n">
        <v>46133</v>
      </c>
      <c r="D89" t="inlineStr">
        <is>
          <t>ÖREBRO LÄN</t>
        </is>
      </c>
      <c r="E89" t="inlineStr">
        <is>
          <t>KARLSKOGA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30102-2025</t>
        </is>
      </c>
      <c r="B90" s="1" t="n">
        <v>45826.68414351852</v>
      </c>
      <c r="C90" s="1" t="n">
        <v>46133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34585-2021</t>
        </is>
      </c>
      <c r="B91" s="1" t="n">
        <v>44382.47526620371</v>
      </c>
      <c r="C91" s="1" t="n">
        <v>46133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54680-2021</t>
        </is>
      </c>
      <c r="B92" s="1" t="n">
        <v>44473</v>
      </c>
      <c r="C92" s="1" t="n">
        <v>46133</v>
      </c>
      <c r="D92" t="inlineStr">
        <is>
          <t>ÖREBRO LÄN</t>
        </is>
      </c>
      <c r="E92" t="inlineStr">
        <is>
          <t>KARLSKOGA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31397-2025</t>
        </is>
      </c>
      <c r="B93" s="1" t="n">
        <v>45833</v>
      </c>
      <c r="C93" s="1" t="n">
        <v>46133</v>
      </c>
      <c r="D93" t="inlineStr">
        <is>
          <t>ÖREBRO LÄN</t>
        </is>
      </c>
      <c r="E93" t="inlineStr">
        <is>
          <t>KARLSKOGA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44946-2025</t>
        </is>
      </c>
      <c r="B94" s="1" t="n">
        <v>45918.6046875</v>
      </c>
      <c r="C94" s="1" t="n">
        <v>46133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32287-2025</t>
        </is>
      </c>
      <c r="B95" s="1" t="n">
        <v>45835.6914699074</v>
      </c>
      <c r="C95" s="1" t="n">
        <v>46133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44949-2025</t>
        </is>
      </c>
      <c r="B96" s="1" t="n">
        <v>45918.60568287037</v>
      </c>
      <c r="C96" s="1" t="n">
        <v>46133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64089-2021</t>
        </is>
      </c>
      <c r="B97" s="1" t="n">
        <v>44510</v>
      </c>
      <c r="C97" s="1" t="n">
        <v>46133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32870-2025</t>
        </is>
      </c>
      <c r="B98" s="1" t="n">
        <v>45839.58939814815</v>
      </c>
      <c r="C98" s="1" t="n">
        <v>46133</v>
      </c>
      <c r="D98" t="inlineStr">
        <is>
          <t>ÖREBRO LÄN</t>
        </is>
      </c>
      <c r="E98" t="inlineStr">
        <is>
          <t>KARLSKOGA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59938-2023</t>
        </is>
      </c>
      <c r="B99" s="1" t="n">
        <v>45257.67357638889</v>
      </c>
      <c r="C99" s="1" t="n">
        <v>46133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45596-2025</t>
        </is>
      </c>
      <c r="B100" s="1" t="n">
        <v>45922.68408564815</v>
      </c>
      <c r="C100" s="1" t="n">
        <v>46133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52828-2024</t>
        </is>
      </c>
      <c r="B101" s="1" t="n">
        <v>45610.59295138889</v>
      </c>
      <c r="C101" s="1" t="n">
        <v>46133</v>
      </c>
      <c r="D101" t="inlineStr">
        <is>
          <t>ÖREBRO LÄN</t>
        </is>
      </c>
      <c r="E101" t="inlineStr">
        <is>
          <t>KARLSKOGA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15254-2025</t>
        </is>
      </c>
      <c r="B102" s="1" t="n">
        <v>45744.64983796296</v>
      </c>
      <c r="C102" s="1" t="n">
        <v>46133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15256-2025</t>
        </is>
      </c>
      <c r="B103" s="1" t="n">
        <v>45744.65391203704</v>
      </c>
      <c r="C103" s="1" t="n">
        <v>46133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917-2026</t>
        </is>
      </c>
      <c r="B104" s="1" t="n">
        <v>46030.48421296296</v>
      </c>
      <c r="C104" s="1" t="n">
        <v>46133</v>
      </c>
      <c r="D104" t="inlineStr">
        <is>
          <t>ÖREBRO LÄN</t>
        </is>
      </c>
      <c r="E104" t="inlineStr">
        <is>
          <t>KARLSKOGA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24115-2024</t>
        </is>
      </c>
      <c r="B105" s="1" t="n">
        <v>45456</v>
      </c>
      <c r="C105" s="1" t="n">
        <v>46133</v>
      </c>
      <c r="D105" t="inlineStr">
        <is>
          <t>ÖREBRO LÄN</t>
        </is>
      </c>
      <c r="E105" t="inlineStr">
        <is>
          <t>KARLSKOGA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1788-2026</t>
        </is>
      </c>
      <c r="B106" s="1" t="n">
        <v>46034.87616898148</v>
      </c>
      <c r="C106" s="1" t="n">
        <v>46133</v>
      </c>
      <c r="D106" t="inlineStr">
        <is>
          <t>ÖREBRO LÄN</t>
        </is>
      </c>
      <c r="E106" t="inlineStr">
        <is>
          <t>KARLSKOGA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53619-2024</t>
        </is>
      </c>
      <c r="B107" s="1" t="n">
        <v>45614.73967592593</v>
      </c>
      <c r="C107" s="1" t="n">
        <v>46133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18768-2025</t>
        </is>
      </c>
      <c r="B108" s="1" t="n">
        <v>45764.29767361111</v>
      </c>
      <c r="C108" s="1" t="n">
        <v>46133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4801-2024</t>
        </is>
      </c>
      <c r="B109" s="1" t="n">
        <v>45328.89141203704</v>
      </c>
      <c r="C109" s="1" t="n">
        <v>46133</v>
      </c>
      <c r="D109" t="inlineStr">
        <is>
          <t>ÖREBRO LÄN</t>
        </is>
      </c>
      <c r="E109" t="inlineStr">
        <is>
          <t>KARLSKOGA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4802-2024</t>
        </is>
      </c>
      <c r="B110" s="1" t="n">
        <v>45328.8962962963</v>
      </c>
      <c r="C110" s="1" t="n">
        <v>46133</v>
      </c>
      <c r="D110" t="inlineStr">
        <is>
          <t>ÖREBRO LÄN</t>
        </is>
      </c>
      <c r="E110" t="inlineStr">
        <is>
          <t>KARLSKOGA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37150-2025</t>
        </is>
      </c>
      <c r="B111" s="1" t="n">
        <v>45875.5734837963</v>
      </c>
      <c r="C111" s="1" t="n">
        <v>46133</v>
      </c>
      <c r="D111" t="inlineStr">
        <is>
          <t>ÖREBRO LÄN</t>
        </is>
      </c>
      <c r="E111" t="inlineStr">
        <is>
          <t>KARLSKOGA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45664-2025</t>
        </is>
      </c>
      <c r="B112" s="1" t="n">
        <v>45923.34690972222</v>
      </c>
      <c r="C112" s="1" t="n">
        <v>46133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2911-2026</t>
        </is>
      </c>
      <c r="B113" s="1" t="n">
        <v>46038.56614583333</v>
      </c>
      <c r="C113" s="1" t="n">
        <v>46133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8990-2023</t>
        </is>
      </c>
      <c r="B114" s="1" t="n">
        <v>44979.55237268518</v>
      </c>
      <c r="C114" s="1" t="n">
        <v>46133</v>
      </c>
      <c r="D114" t="inlineStr">
        <is>
          <t>ÖREBRO LÄN</t>
        </is>
      </c>
      <c r="E114" t="inlineStr">
        <is>
          <t>KARLSKOGA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37332-2025</t>
        </is>
      </c>
      <c r="B115" s="1" t="n">
        <v>45876.65920138889</v>
      </c>
      <c r="C115" s="1" t="n">
        <v>46133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37737-2025</t>
        </is>
      </c>
      <c r="B116" s="1" t="n">
        <v>45880.63737268518</v>
      </c>
      <c r="C116" s="1" t="n">
        <v>46133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50957-2025</t>
        </is>
      </c>
      <c r="B117" s="1" t="n">
        <v>45946.78399305556</v>
      </c>
      <c r="C117" s="1" t="n">
        <v>46133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50958-2025</t>
        </is>
      </c>
      <c r="B118" s="1" t="n">
        <v>45946.78709490741</v>
      </c>
      <c r="C118" s="1" t="n">
        <v>46133</v>
      </c>
      <c r="D118" t="inlineStr">
        <is>
          <t>ÖREBRO LÄN</t>
        </is>
      </c>
      <c r="E118" t="inlineStr">
        <is>
          <t>KARLSKOGA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42802-2023</t>
        </is>
      </c>
      <c r="B119" s="1" t="n">
        <v>45182</v>
      </c>
      <c r="C119" s="1" t="n">
        <v>46133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20470-2025</t>
        </is>
      </c>
      <c r="B120" s="1" t="n">
        <v>45775.54530092593</v>
      </c>
      <c r="C120" s="1" t="n">
        <v>46133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46133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28471-2023</t>
        </is>
      </c>
      <c r="B122" s="1" t="n">
        <v>45103.41175925926</v>
      </c>
      <c r="C122" s="1" t="n">
        <v>46133</v>
      </c>
      <c r="D122" t="inlineStr">
        <is>
          <t>ÖREBRO LÄN</t>
        </is>
      </c>
      <c r="E122" t="inlineStr">
        <is>
          <t>KARLSKOGA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22867-2022</t>
        </is>
      </c>
      <c r="B123" s="1" t="n">
        <v>44715.49313657408</v>
      </c>
      <c r="C123" s="1" t="n">
        <v>46133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64060-2023</t>
        </is>
      </c>
      <c r="B124" s="1" t="n">
        <v>45279.35636574074</v>
      </c>
      <c r="C124" s="1" t="n">
        <v>46133</v>
      </c>
      <c r="D124" t="inlineStr">
        <is>
          <t>ÖREBRO LÄN</t>
        </is>
      </c>
      <c r="E124" t="inlineStr">
        <is>
          <t>KARLSKOGA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48707-2024</t>
        </is>
      </c>
      <c r="B125" s="1" t="n">
        <v>45593.53480324074</v>
      </c>
      <c r="C125" s="1" t="n">
        <v>46133</v>
      </c>
      <c r="D125" t="inlineStr">
        <is>
          <t>ÖREBRO LÄN</t>
        </is>
      </c>
      <c r="E125" t="inlineStr">
        <is>
          <t>KARLSKOGA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52376-2025</t>
        </is>
      </c>
      <c r="B126" s="1" t="n">
        <v>45953.94524305555</v>
      </c>
      <c r="C126" s="1" t="n">
        <v>46133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52377-2025</t>
        </is>
      </c>
      <c r="B127" s="1" t="n">
        <v>45953.94622685185</v>
      </c>
      <c r="C127" s="1" t="n">
        <v>46133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46133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55832-2023</t>
        </is>
      </c>
      <c r="B129" s="1" t="n">
        <v>45239.61148148148</v>
      </c>
      <c r="C129" s="1" t="n">
        <v>46133</v>
      </c>
      <c r="D129" t="inlineStr">
        <is>
          <t>ÖREBRO LÄN</t>
        </is>
      </c>
      <c r="E129" t="inlineStr">
        <is>
          <t>KARLSKOGA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9941-2025</t>
        </is>
      </c>
      <c r="B130" s="1" t="n">
        <v>45718.83177083333</v>
      </c>
      <c r="C130" s="1" t="n">
        <v>46133</v>
      </c>
      <c r="D130" t="inlineStr">
        <is>
          <t>ÖREBRO LÄN</t>
        </is>
      </c>
      <c r="E130" t="inlineStr">
        <is>
          <t>KARLSKOGA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47222-2024</t>
        </is>
      </c>
      <c r="B131" s="1" t="n">
        <v>45586</v>
      </c>
      <c r="C131" s="1" t="n">
        <v>46133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24255-2024</t>
        </is>
      </c>
      <c r="B132" s="1" t="n">
        <v>45457.39487268519</v>
      </c>
      <c r="C132" s="1" t="n">
        <v>46133</v>
      </c>
      <c r="D132" t="inlineStr">
        <is>
          <t>ÖREBRO LÄN</t>
        </is>
      </c>
      <c r="E132" t="inlineStr">
        <is>
          <t>KARLSKOGA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58388-2024</t>
        </is>
      </c>
      <c r="B133" s="1" t="n">
        <v>45633.64746527778</v>
      </c>
      <c r="C133" s="1" t="n">
        <v>46133</v>
      </c>
      <c r="D133" t="inlineStr">
        <is>
          <t>ÖREBRO LÄN</t>
        </is>
      </c>
      <c r="E133" t="inlineStr">
        <is>
          <t>KARLSKOGA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12693-2026</t>
        </is>
      </c>
      <c r="B134" s="1" t="n">
        <v>46091.57517361111</v>
      </c>
      <c r="C134" s="1" t="n">
        <v>46133</v>
      </c>
      <c r="D134" t="inlineStr">
        <is>
          <t>ÖREBRO LÄN</t>
        </is>
      </c>
      <c r="E134" t="inlineStr">
        <is>
          <t>KARLSKOGA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55025-2025</t>
        </is>
      </c>
      <c r="B135" s="1" t="n">
        <v>45967.63591435185</v>
      </c>
      <c r="C135" s="1" t="n">
        <v>46133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18978-2025</t>
        </is>
      </c>
      <c r="B136" s="1" t="n">
        <v>45764.54626157408</v>
      </c>
      <c r="C136" s="1" t="n">
        <v>46133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10816-2023</t>
        </is>
      </c>
      <c r="B137" s="1" t="n">
        <v>44990.43501157407</v>
      </c>
      <c r="C137" s="1" t="n">
        <v>46133</v>
      </c>
      <c r="D137" t="inlineStr">
        <is>
          <t>ÖREBRO LÄN</t>
        </is>
      </c>
      <c r="E137" t="inlineStr">
        <is>
          <t>KARLSKOGA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12684-2026</t>
        </is>
      </c>
      <c r="B138" s="1" t="n">
        <v>46091.56143518518</v>
      </c>
      <c r="C138" s="1" t="n">
        <v>46133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31921-2022</t>
        </is>
      </c>
      <c r="B139" s="1" t="n">
        <v>44777</v>
      </c>
      <c r="C139" s="1" t="n">
        <v>46133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43075-2023</t>
        </is>
      </c>
      <c r="B140" s="1" t="n">
        <v>45182.83460648148</v>
      </c>
      <c r="C140" s="1" t="n">
        <v>46133</v>
      </c>
      <c r="D140" t="inlineStr">
        <is>
          <t>ÖREBRO LÄN</t>
        </is>
      </c>
      <c r="E140" t="inlineStr">
        <is>
          <t>KARLSKOGA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57212-2025</t>
        </is>
      </c>
      <c r="B141" s="1" t="n">
        <v>45979.60140046296</v>
      </c>
      <c r="C141" s="1" t="n">
        <v>46133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47196-2023</t>
        </is>
      </c>
      <c r="B142" s="1" t="n">
        <v>45196</v>
      </c>
      <c r="C142" s="1" t="n">
        <v>46133</v>
      </c>
      <c r="D142" t="inlineStr">
        <is>
          <t>ÖREBRO LÄN</t>
        </is>
      </c>
      <c r="E142" t="inlineStr">
        <is>
          <t>KARLSKOGA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12897-2026</t>
        </is>
      </c>
      <c r="B143" s="1" t="n">
        <v>46092.56590277778</v>
      </c>
      <c r="C143" s="1" t="n">
        <v>46133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13454-2022</t>
        </is>
      </c>
      <c r="B144" s="1" t="n">
        <v>44645</v>
      </c>
      <c r="C144" s="1" t="n">
        <v>46133</v>
      </c>
      <c r="D144" t="inlineStr">
        <is>
          <t>ÖREBRO LÄN</t>
        </is>
      </c>
      <c r="E144" t="inlineStr">
        <is>
          <t>KARLSKOGA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15252-2025</t>
        </is>
      </c>
      <c r="B145" s="1" t="n">
        <v>45744</v>
      </c>
      <c r="C145" s="1" t="n">
        <v>46133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15253-2025</t>
        </is>
      </c>
      <c r="B146" s="1" t="n">
        <v>45744</v>
      </c>
      <c r="C146" s="1" t="n">
        <v>46133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53618-2024</t>
        </is>
      </c>
      <c r="B147" s="1" t="n">
        <v>45614.73951388889</v>
      </c>
      <c r="C147" s="1" t="n">
        <v>46133</v>
      </c>
      <c r="D147" t="inlineStr">
        <is>
          <t>ÖREBRO LÄN</t>
        </is>
      </c>
      <c r="E147" t="inlineStr">
        <is>
          <t>KARLSKOGA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30961-2022</t>
        </is>
      </c>
      <c r="B148" s="1" t="n">
        <v>44768</v>
      </c>
      <c r="C148" s="1" t="n">
        <v>46133</v>
      </c>
      <c r="D148" t="inlineStr">
        <is>
          <t>ÖREBRO LÄN</t>
        </is>
      </c>
      <c r="E148" t="inlineStr">
        <is>
          <t>KARLSKOGA</t>
        </is>
      </c>
      <c r="F148" t="inlineStr">
        <is>
          <t>Kommuner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58695-2025</t>
        </is>
      </c>
      <c r="B149" s="1" t="n">
        <v>45986.58576388889</v>
      </c>
      <c r="C149" s="1" t="n">
        <v>46133</v>
      </c>
      <c r="D149" t="inlineStr">
        <is>
          <t>ÖREBRO LÄN</t>
        </is>
      </c>
      <c r="E149" t="inlineStr">
        <is>
          <t>KARLSKOGA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42803-2023</t>
        </is>
      </c>
      <c r="B150" s="1" t="n">
        <v>45182</v>
      </c>
      <c r="C150" s="1" t="n">
        <v>46133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59522-2025</t>
        </is>
      </c>
      <c r="B151" s="1" t="n">
        <v>45989.6597800926</v>
      </c>
      <c r="C151" s="1" t="n">
        <v>46133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8803-2025</t>
        </is>
      </c>
      <c r="B152" s="1" t="n">
        <v>45712.66123842593</v>
      </c>
      <c r="C152" s="1" t="n">
        <v>46133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15188-2025</t>
        </is>
      </c>
      <c r="B153" s="1" t="n">
        <v>45744.55122685185</v>
      </c>
      <c r="C153" s="1" t="n">
        <v>46133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60465-2025</t>
        </is>
      </c>
      <c r="B154" s="1" t="n">
        <v>45995.55730324074</v>
      </c>
      <c r="C154" s="1" t="n">
        <v>46133</v>
      </c>
      <c r="D154" t="inlineStr">
        <is>
          <t>ÖREBRO LÄN</t>
        </is>
      </c>
      <c r="E154" t="inlineStr">
        <is>
          <t>KARLSKOGA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60506-2025</t>
        </is>
      </c>
      <c r="B155" s="1" t="n">
        <v>45995.62744212963</v>
      </c>
      <c r="C155" s="1" t="n">
        <v>46133</v>
      </c>
      <c r="D155" t="inlineStr">
        <is>
          <t>ÖREBRO LÄN</t>
        </is>
      </c>
      <c r="E155" t="inlineStr">
        <is>
          <t>KARLSKOGA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60508-2025</t>
        </is>
      </c>
      <c r="B156" s="1" t="n">
        <v>45995.63013888889</v>
      </c>
      <c r="C156" s="1" t="n">
        <v>46133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60470-2025</t>
        </is>
      </c>
      <c r="B157" s="1" t="n">
        <v>45995.565625</v>
      </c>
      <c r="C157" s="1" t="n">
        <v>46133</v>
      </c>
      <c r="D157" t="inlineStr">
        <is>
          <t>ÖREBRO LÄN</t>
        </is>
      </c>
      <c r="E157" t="inlineStr">
        <is>
          <t>KARLSKOGA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60503-2025</t>
        </is>
      </c>
      <c r="B158" s="1" t="n">
        <v>45995.62199074074</v>
      </c>
      <c r="C158" s="1" t="n">
        <v>46133</v>
      </c>
      <c r="D158" t="inlineStr">
        <is>
          <t>ÖREBRO LÄN</t>
        </is>
      </c>
      <c r="E158" t="inlineStr">
        <is>
          <t>KARLSKOGA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13473-2026</t>
        </is>
      </c>
      <c r="B159" s="1" t="n">
        <v>46094.56453703704</v>
      </c>
      <c r="C159" s="1" t="n">
        <v>46133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56313-2024</t>
        </is>
      </c>
      <c r="B160" s="1" t="n">
        <v>45624</v>
      </c>
      <c r="C160" s="1" t="n">
        <v>46133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10743-2023</t>
        </is>
      </c>
      <c r="B161" s="1" t="n">
        <v>44988.70174768518</v>
      </c>
      <c r="C161" s="1" t="n">
        <v>46133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6255-2026</t>
        </is>
      </c>
      <c r="B162" s="1" t="n">
        <v>46055.47542824074</v>
      </c>
      <c r="C162" s="1" t="n">
        <v>46133</v>
      </c>
      <c r="D162" t="inlineStr">
        <is>
          <t>ÖREBRO LÄN</t>
        </is>
      </c>
      <c r="E162" t="inlineStr">
        <is>
          <t>KARLSKOGA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14215-2024</t>
        </is>
      </c>
      <c r="B163" s="1" t="n">
        <v>45393</v>
      </c>
      <c r="C163" s="1" t="n">
        <v>46133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55191-2023</t>
        </is>
      </c>
      <c r="B164" s="1" t="n">
        <v>45237.58084490741</v>
      </c>
      <c r="C164" s="1" t="n">
        <v>46133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15269-2025</t>
        </is>
      </c>
      <c r="B165" s="1" t="n">
        <v>45744.66511574074</v>
      </c>
      <c r="C165" s="1" t="n">
        <v>46133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59025-2024</t>
        </is>
      </c>
      <c r="B166" s="1" t="n">
        <v>45636.68592592593</v>
      </c>
      <c r="C166" s="1" t="n">
        <v>46133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6605-2026</t>
        </is>
      </c>
      <c r="B167" s="1" t="n">
        <v>46056.47820601852</v>
      </c>
      <c r="C167" s="1" t="n">
        <v>46133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14580-2026</t>
        </is>
      </c>
      <c r="B168" s="1" t="n">
        <v>46101.33767361111</v>
      </c>
      <c r="C168" s="1" t="n">
        <v>46133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17243-2024</t>
        </is>
      </c>
      <c r="B169" s="1" t="n">
        <v>45414</v>
      </c>
      <c r="C169" s="1" t="n">
        <v>46133</v>
      </c>
      <c r="D169" t="inlineStr">
        <is>
          <t>ÖREBRO LÄN</t>
        </is>
      </c>
      <c r="E169" t="inlineStr">
        <is>
          <t>KARLSKOGA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35060-2024</t>
        </is>
      </c>
      <c r="B170" s="1" t="n">
        <v>45527</v>
      </c>
      <c r="C170" s="1" t="n">
        <v>46133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52826-2024</t>
        </is>
      </c>
      <c r="B171" s="1" t="n">
        <v>45610.59243055555</v>
      </c>
      <c r="C171" s="1" t="n">
        <v>46133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52829-2024</t>
        </is>
      </c>
      <c r="B172" s="1" t="n">
        <v>45610.59344907408</v>
      </c>
      <c r="C172" s="1" t="n">
        <v>46133</v>
      </c>
      <c r="D172" t="inlineStr">
        <is>
          <t>ÖREBRO LÄN</t>
        </is>
      </c>
      <c r="E172" t="inlineStr">
        <is>
          <t>KARLSKOGA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3239-2026</t>
        </is>
      </c>
      <c r="B173" s="1" t="n">
        <v>46041</v>
      </c>
      <c r="C173" s="1" t="n">
        <v>46133</v>
      </c>
      <c r="D173" t="inlineStr">
        <is>
          <t>ÖREBRO LÄN</t>
        </is>
      </c>
      <c r="E173" t="inlineStr">
        <is>
          <t>KARLSKOGA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16783-2026</t>
        </is>
      </c>
      <c r="B174" s="1" t="n">
        <v>46113.45881944444</v>
      </c>
      <c r="C174" s="1" t="n">
        <v>46133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16784-2026</t>
        </is>
      </c>
      <c r="B175" s="1" t="n">
        <v>46113.45974537037</v>
      </c>
      <c r="C175" s="1" t="n">
        <v>46133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16787-2026</t>
        </is>
      </c>
      <c r="B176" s="1" t="n">
        <v>46113.46074074074</v>
      </c>
      <c r="C176" s="1" t="n">
        <v>46133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16782-2026</t>
        </is>
      </c>
      <c r="B177" s="1" t="n">
        <v>46113.45819444444</v>
      </c>
      <c r="C177" s="1" t="n">
        <v>46133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11974-2025</t>
        </is>
      </c>
      <c r="B178" s="1" t="n">
        <v>45728.58998842593</v>
      </c>
      <c r="C178" s="1" t="n">
        <v>46133</v>
      </c>
      <c r="D178" t="inlineStr">
        <is>
          <t>ÖREBRO LÄN</t>
        </is>
      </c>
      <c r="E178" t="inlineStr">
        <is>
          <t>KARLSKOGA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9917-2026</t>
        </is>
      </c>
      <c r="B179" s="1" t="n">
        <v>46073.4390162037</v>
      </c>
      <c r="C179" s="1" t="n">
        <v>46133</v>
      </c>
      <c r="D179" t="inlineStr">
        <is>
          <t>ÖREBRO LÄN</t>
        </is>
      </c>
      <c r="E179" t="inlineStr">
        <is>
          <t>KARLSKOGA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28474-2023</t>
        </is>
      </c>
      <c r="B180" s="1" t="n">
        <v>45103.42020833334</v>
      </c>
      <c r="C180" s="1" t="n">
        <v>46133</v>
      </c>
      <c r="D180" t="inlineStr">
        <is>
          <t>ÖREBRO LÄN</t>
        </is>
      </c>
      <c r="E180" t="inlineStr">
        <is>
          <t>KARLSKOGA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61271-2022</t>
        </is>
      </c>
      <c r="B181" s="1" t="n">
        <v>44909</v>
      </c>
      <c r="C181" s="1" t="n">
        <v>46133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48168-2024</t>
        </is>
      </c>
      <c r="B182" s="1" t="n">
        <v>45589.74410879629</v>
      </c>
      <c r="C182" s="1" t="n">
        <v>46133</v>
      </c>
      <c r="D182" t="inlineStr">
        <is>
          <t>ÖREBRO LÄN</t>
        </is>
      </c>
      <c r="E182" t="inlineStr">
        <is>
          <t>KARLSKOGA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15058-2026</t>
        </is>
      </c>
      <c r="B183" s="1" t="n">
        <v>46104</v>
      </c>
      <c r="C183" s="1" t="n">
        <v>46133</v>
      </c>
      <c r="D183" t="inlineStr">
        <is>
          <t>ÖREBRO LÄN</t>
        </is>
      </c>
      <c r="E183" t="inlineStr">
        <is>
          <t>KARLSKOGA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15061-2026</t>
        </is>
      </c>
      <c r="B184" s="1" t="n">
        <v>46104</v>
      </c>
      <c r="C184" s="1" t="n">
        <v>46133</v>
      </c>
      <c r="D184" t="inlineStr">
        <is>
          <t>ÖREBRO LÄN</t>
        </is>
      </c>
      <c r="E184" t="inlineStr">
        <is>
          <t>KARLSKOGA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58091-2022</t>
        </is>
      </c>
      <c r="B185" s="1" t="n">
        <v>44900</v>
      </c>
      <c r="C185" s="1" t="n">
        <v>46133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18468-2025</t>
        </is>
      </c>
      <c r="B186" s="1" t="n">
        <v>45762.73166666667</v>
      </c>
      <c r="C186" s="1" t="n">
        <v>46133</v>
      </c>
      <c r="D186" t="inlineStr">
        <is>
          <t>ÖREBRO LÄN</t>
        </is>
      </c>
      <c r="E186" t="inlineStr">
        <is>
          <t>KARLSKOGA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17299-2026</t>
        </is>
      </c>
      <c r="B187" s="1" t="n">
        <v>46119.5665162037</v>
      </c>
      <c r="C187" s="1" t="n">
        <v>46133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63188-2025</t>
        </is>
      </c>
      <c r="B188" s="1" t="n">
        <v>46010.44494212963</v>
      </c>
      <c r="C188" s="1" t="n">
        <v>46133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15060-2026</t>
        </is>
      </c>
      <c r="B189" s="1" t="n">
        <v>46104</v>
      </c>
      <c r="C189" s="1" t="n">
        <v>46133</v>
      </c>
      <c r="D189" t="inlineStr">
        <is>
          <t>ÖREBRO LÄN</t>
        </is>
      </c>
      <c r="E189" t="inlineStr">
        <is>
          <t>KARLSKOGA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15062-2026</t>
        </is>
      </c>
      <c r="B190" s="1" t="n">
        <v>46104</v>
      </c>
      <c r="C190" s="1" t="n">
        <v>46133</v>
      </c>
      <c r="D190" t="inlineStr">
        <is>
          <t>ÖREBRO LÄN</t>
        </is>
      </c>
      <c r="E190" t="inlineStr">
        <is>
          <t>KARLSKOGA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17261-2026</t>
        </is>
      </c>
      <c r="B191" s="1" t="n">
        <v>46119.46892361111</v>
      </c>
      <c r="C191" s="1" t="n">
        <v>46133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18955-2025</t>
        </is>
      </c>
      <c r="B192" s="1" t="n">
        <v>45764.51512731481</v>
      </c>
      <c r="C192" s="1" t="n">
        <v>46133</v>
      </c>
      <c r="D192" t="inlineStr">
        <is>
          <t>ÖREBRO LÄN</t>
        </is>
      </c>
      <c r="E192" t="inlineStr">
        <is>
          <t>KARLSKOGA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17734-2026</t>
        </is>
      </c>
      <c r="B193" s="1" t="n">
        <v>46122.25068287037</v>
      </c>
      <c r="C193" s="1" t="n">
        <v>46133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17910-2026</t>
        </is>
      </c>
      <c r="B194" s="1" t="n">
        <v>46122.59701388889</v>
      </c>
      <c r="C194" s="1" t="n">
        <v>46133</v>
      </c>
      <c r="D194" t="inlineStr">
        <is>
          <t>ÖREBRO LÄN</t>
        </is>
      </c>
      <c r="E194" t="inlineStr">
        <is>
          <t>KARLSKOGA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50614-2024</t>
        </is>
      </c>
      <c r="B195" s="1" t="n">
        <v>45601.63342592592</v>
      </c>
      <c r="C195" s="1" t="n">
        <v>46133</v>
      </c>
      <c r="D195" t="inlineStr">
        <is>
          <t>ÖREBRO LÄN</t>
        </is>
      </c>
      <c r="E195" t="inlineStr">
        <is>
          <t>KARLSKOGA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55182-2024</t>
        </is>
      </c>
      <c r="B196" s="1" t="n">
        <v>45618</v>
      </c>
      <c r="C196" s="1" t="n">
        <v>46133</v>
      </c>
      <c r="D196" t="inlineStr">
        <is>
          <t>ÖREBRO LÄN</t>
        </is>
      </c>
      <c r="E196" t="inlineStr">
        <is>
          <t>KARLSKOGA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16476-2025</t>
        </is>
      </c>
      <c r="B197" s="1" t="n">
        <v>45751.57092592592</v>
      </c>
      <c r="C197" s="1" t="n">
        <v>46133</v>
      </c>
      <c r="D197" t="inlineStr">
        <is>
          <t>ÖREBRO LÄN</t>
        </is>
      </c>
      <c r="E197" t="inlineStr">
        <is>
          <t>KARLSKOGA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4058-2022</t>
        </is>
      </c>
      <c r="B198" s="1" t="n">
        <v>44588</v>
      </c>
      <c r="C198" s="1" t="n">
        <v>46133</v>
      </c>
      <c r="D198" t="inlineStr">
        <is>
          <t>ÖREBRO LÄN</t>
        </is>
      </c>
      <c r="E198" t="inlineStr">
        <is>
          <t>KARLSKOGA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18427-2026</t>
        </is>
      </c>
      <c r="B199" s="1" t="n">
        <v>46127.32074074074</v>
      </c>
      <c r="C199" s="1" t="n">
        <v>46133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18428-2026</t>
        </is>
      </c>
      <c r="B200" s="1" t="n">
        <v>46127.32145833333</v>
      </c>
      <c r="C200" s="1" t="n">
        <v>46133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46605-2021</t>
        </is>
      </c>
      <c r="B201" s="1" t="n">
        <v>44445.55292824074</v>
      </c>
      <c r="C201" s="1" t="n">
        <v>46133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3227-2025</t>
        </is>
      </c>
      <c r="B202" s="1" t="n">
        <v>45679</v>
      </c>
      <c r="C202" s="1" t="n">
        <v>46133</v>
      </c>
      <c r="D202" t="inlineStr">
        <is>
          <t>ÖREBRO LÄN</t>
        </is>
      </c>
      <c r="E202" t="inlineStr">
        <is>
          <t>KARLSKOGA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19010-2026</t>
        </is>
      </c>
      <c r="B203" s="1" t="n">
        <v>46130.29592592592</v>
      </c>
      <c r="C203" s="1" t="n">
        <v>46133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19009-2026</t>
        </is>
      </c>
      <c r="B204" s="1" t="n">
        <v>46130.29524305555</v>
      </c>
      <c r="C204" s="1" t="n">
        <v>46133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19011-2026</t>
        </is>
      </c>
      <c r="B205" s="1" t="n">
        <v>46130.29638888889</v>
      </c>
      <c r="C205" s="1" t="n">
        <v>46133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19008-2026</t>
        </is>
      </c>
      <c r="B206" s="1" t="n">
        <v>46130.29422453704</v>
      </c>
      <c r="C206" s="1" t="n">
        <v>46133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28100-2024</t>
        </is>
      </c>
      <c r="B207" s="1" t="n">
        <v>45476.61674768518</v>
      </c>
      <c r="C207" s="1" t="n">
        <v>46133</v>
      </c>
      <c r="D207" t="inlineStr">
        <is>
          <t>ÖREBRO LÄN</t>
        </is>
      </c>
      <c r="E207" t="inlineStr">
        <is>
          <t>KARLSKOGA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16256-2025</t>
        </is>
      </c>
      <c r="B208" s="1" t="n">
        <v>45750.71596064815</v>
      </c>
      <c r="C208" s="1" t="n">
        <v>46133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50863-2024</t>
        </is>
      </c>
      <c r="B209" s="1" t="n">
        <v>45602.63560185185</v>
      </c>
      <c r="C209" s="1" t="n">
        <v>46133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27728-2021</t>
        </is>
      </c>
      <c r="B210" s="1" t="n">
        <v>44354.47241898148</v>
      </c>
      <c r="C210" s="1" t="n">
        <v>46133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1106-2024</t>
        </is>
      </c>
      <c r="B211" s="1" t="n">
        <v>45302</v>
      </c>
      <c r="C211" s="1" t="n">
        <v>46133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39030-2022</t>
        </is>
      </c>
      <c r="B212" s="1" t="n">
        <v>44817.34023148148</v>
      </c>
      <c r="C212" s="1" t="n">
        <v>46133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38382-2022</t>
        </is>
      </c>
      <c r="B213" s="1" t="n">
        <v>44812</v>
      </c>
      <c r="C213" s="1" t="n">
        <v>46133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46133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20139-2025</t>
        </is>
      </c>
      <c r="B215" s="1" t="n">
        <v>45772</v>
      </c>
      <c r="C215" s="1" t="n">
        <v>46133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20140-2025</t>
        </is>
      </c>
      <c r="B216" s="1" t="n">
        <v>45772</v>
      </c>
      <c r="C216" s="1" t="n">
        <v>46133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57422-2021</t>
        </is>
      </c>
      <c r="B217" s="1" t="n">
        <v>44483</v>
      </c>
      <c r="C217" s="1" t="n">
        <v>46133</v>
      </c>
      <c r="D217" t="inlineStr">
        <is>
          <t>ÖREBRO LÄN</t>
        </is>
      </c>
      <c r="E217" t="inlineStr">
        <is>
          <t>KARLSKOGA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8244-2025</t>
        </is>
      </c>
      <c r="B218" s="1" t="n">
        <v>45708.4852662037</v>
      </c>
      <c r="C218" s="1" t="n">
        <v>46133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38190-2024</t>
        </is>
      </c>
      <c r="B219" s="1" t="n">
        <v>45545.49076388889</v>
      </c>
      <c r="C219" s="1" t="n">
        <v>46133</v>
      </c>
      <c r="D219" t="inlineStr">
        <is>
          <t>ÖREBRO LÄN</t>
        </is>
      </c>
      <c r="E219" t="inlineStr">
        <is>
          <t>KARLSKOGA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27735-2021</t>
        </is>
      </c>
      <c r="B220" s="1" t="n">
        <v>44354.4771412037</v>
      </c>
      <c r="C220" s="1" t="n">
        <v>46133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20463-2025</t>
        </is>
      </c>
      <c r="B221" s="1" t="n">
        <v>45775.53664351852</v>
      </c>
      <c r="C221" s="1" t="n">
        <v>46133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35470-2024</t>
        </is>
      </c>
      <c r="B222" s="1" t="n">
        <v>45531.46973379629</v>
      </c>
      <c r="C222" s="1" t="n">
        <v>46133</v>
      </c>
      <c r="D222" t="inlineStr">
        <is>
          <t>ÖREBRO LÄN</t>
        </is>
      </c>
      <c r="E222" t="inlineStr">
        <is>
          <t>KARLSKOGA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21682-2021</t>
        </is>
      </c>
      <c r="B223" s="1" t="n">
        <v>44322.41228009259</v>
      </c>
      <c r="C223" s="1" t="n">
        <v>46133</v>
      </c>
      <c r="D223" t="inlineStr">
        <is>
          <t>ÖREBRO LÄN</t>
        </is>
      </c>
      <c r="E223" t="inlineStr">
        <is>
          <t>KARLSKOGA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35445-2024</t>
        </is>
      </c>
      <c r="B224" s="1" t="n">
        <v>45531.43599537037</v>
      </c>
      <c r="C224" s="1" t="n">
        <v>46133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47094-2023</t>
        </is>
      </c>
      <c r="B225" s="1" t="n">
        <v>45196</v>
      </c>
      <c r="C225" s="1" t="n">
        <v>46133</v>
      </c>
      <c r="D225" t="inlineStr">
        <is>
          <t>ÖREBRO LÄN</t>
        </is>
      </c>
      <c r="E225" t="inlineStr">
        <is>
          <t>KARLSKOGA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38196-2024</t>
        </is>
      </c>
      <c r="B226" s="1" t="n">
        <v>45545.49483796296</v>
      </c>
      <c r="C226" s="1" t="n">
        <v>46133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50611-2024</t>
        </is>
      </c>
      <c r="B227" s="1" t="n">
        <v>45601.63069444444</v>
      </c>
      <c r="C227" s="1" t="n">
        <v>46133</v>
      </c>
      <c r="D227" t="inlineStr">
        <is>
          <t>ÖREBRO LÄN</t>
        </is>
      </c>
      <c r="E227" t="inlineStr">
        <is>
          <t>KARLSKOGA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20289-2024</t>
        </is>
      </c>
      <c r="B228" s="1" t="n">
        <v>45435.30835648148</v>
      </c>
      <c r="C228" s="1" t="n">
        <v>46133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52797-2021</t>
        </is>
      </c>
      <c r="B229" s="1" t="n">
        <v>44467.37496527778</v>
      </c>
      <c r="C229" s="1" t="n">
        <v>46133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15255-2025</t>
        </is>
      </c>
      <c r="B230" s="1" t="n">
        <v>45744.65173611111</v>
      </c>
      <c r="C230" s="1" t="n">
        <v>46133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48167-2024</t>
        </is>
      </c>
      <c r="B231" s="1" t="n">
        <v>45589.73996527777</v>
      </c>
      <c r="C231" s="1" t="n">
        <v>46133</v>
      </c>
      <c r="D231" t="inlineStr">
        <is>
          <t>ÖREBRO LÄN</t>
        </is>
      </c>
      <c r="E231" t="inlineStr">
        <is>
          <t>KARLSKOGA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20086-2024</t>
        </is>
      </c>
      <c r="B232" s="1" t="n">
        <v>45434</v>
      </c>
      <c r="C232" s="1" t="n">
        <v>46133</v>
      </c>
      <c r="D232" t="inlineStr">
        <is>
          <t>ÖREBRO LÄN</t>
        </is>
      </c>
      <c r="E232" t="inlineStr">
        <is>
          <t>KARLSKOGA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13496-2025</t>
        </is>
      </c>
      <c r="B233" s="1" t="n">
        <v>45736.44390046296</v>
      </c>
      <c r="C233" s="1" t="n">
        <v>46133</v>
      </c>
      <c r="D233" t="inlineStr">
        <is>
          <t>ÖREBRO LÄN</t>
        </is>
      </c>
      <c r="E233" t="inlineStr">
        <is>
          <t>KARLSKOGA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56887-2022</t>
        </is>
      </c>
      <c r="B234" s="1" t="n">
        <v>44894.57006944445</v>
      </c>
      <c r="C234" s="1" t="n">
        <v>46133</v>
      </c>
      <c r="D234" t="inlineStr">
        <is>
          <t>ÖREBRO LÄN</t>
        </is>
      </c>
      <c r="E234" t="inlineStr">
        <is>
          <t>KARLSKOGA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33011-2023</t>
        </is>
      </c>
      <c r="B235" s="1" t="n">
        <v>45125</v>
      </c>
      <c r="C235" s="1" t="n">
        <v>46133</v>
      </c>
      <c r="D235" t="inlineStr">
        <is>
          <t>ÖREBRO LÄN</t>
        </is>
      </c>
      <c r="E235" t="inlineStr">
        <is>
          <t>KARLSKOGA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41777-2021</t>
        </is>
      </c>
      <c r="B236" s="1" t="n">
        <v>44425.65414351852</v>
      </c>
      <c r="C236" s="1" t="n">
        <v>46133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41779-2021</t>
        </is>
      </c>
      <c r="B237" s="1" t="n">
        <v>44425.655625</v>
      </c>
      <c r="C237" s="1" t="n">
        <v>46133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51344-2023</t>
        </is>
      </c>
      <c r="B238" s="1" t="n">
        <v>45219.59462962963</v>
      </c>
      <c r="C238" s="1" t="n">
        <v>46133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6835-2025</t>
        </is>
      </c>
      <c r="B239" s="1" t="n">
        <v>45700.78726851852</v>
      </c>
      <c r="C239" s="1" t="n">
        <v>46133</v>
      </c>
      <c r="D239" t="inlineStr">
        <is>
          <t>ÖREBRO LÄN</t>
        </is>
      </c>
      <c r="E239" t="inlineStr">
        <is>
          <t>KARLSKOGA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10515-2023</t>
        </is>
      </c>
      <c r="B240" s="1" t="n">
        <v>44987.7978125</v>
      </c>
      <c r="C240" s="1" t="n">
        <v>46133</v>
      </c>
      <c r="D240" t="inlineStr">
        <is>
          <t>ÖREBRO LÄN</t>
        </is>
      </c>
      <c r="E240" t="inlineStr">
        <is>
          <t>KARLSKOGA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39337-2022</t>
        </is>
      </c>
      <c r="B241" s="1" t="n">
        <v>44817.72568287037</v>
      </c>
      <c r="C241" s="1" t="n">
        <v>46133</v>
      </c>
      <c r="D241" t="inlineStr">
        <is>
          <t>ÖREBRO LÄN</t>
        </is>
      </c>
      <c r="E241" t="inlineStr">
        <is>
          <t>KARLSKOGA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53620-2024</t>
        </is>
      </c>
      <c r="B242" s="1" t="n">
        <v>45614.73983796296</v>
      </c>
      <c r="C242" s="1" t="n">
        <v>46133</v>
      </c>
      <c r="D242" t="inlineStr">
        <is>
          <t>ÖREBRO LÄN</t>
        </is>
      </c>
      <c r="E242" t="inlineStr">
        <is>
          <t>KARLSKOGA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2224-2025</t>
        </is>
      </c>
      <c r="B243" s="1" t="n">
        <v>45673</v>
      </c>
      <c r="C243" s="1" t="n">
        <v>46133</v>
      </c>
      <c r="D243" t="inlineStr">
        <is>
          <t>ÖREBRO LÄN</t>
        </is>
      </c>
      <c r="E243" t="inlineStr">
        <is>
          <t>KARLSKOGA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13501-2025</t>
        </is>
      </c>
      <c r="B244" s="1" t="n">
        <v>45736.45362268519</v>
      </c>
      <c r="C244" s="1" t="n">
        <v>46133</v>
      </c>
      <c r="D244" t="inlineStr">
        <is>
          <t>ÖREBRO LÄN</t>
        </is>
      </c>
      <c r="E244" t="inlineStr">
        <is>
          <t>KARLSKOGA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22624-2021</t>
        </is>
      </c>
      <c r="B245" s="1" t="n">
        <v>44327</v>
      </c>
      <c r="C245" s="1" t="n">
        <v>46133</v>
      </c>
      <c r="D245" t="inlineStr">
        <is>
          <t>ÖREBRO LÄN</t>
        </is>
      </c>
      <c r="E245" t="inlineStr">
        <is>
          <t>KARLSKOGA</t>
        </is>
      </c>
      <c r="F245" t="inlineStr">
        <is>
          <t>Kyrkan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10404-2022</t>
        </is>
      </c>
      <c r="B246" s="1" t="n">
        <v>44623.45096064815</v>
      </c>
      <c r="C246" s="1" t="n">
        <v>46133</v>
      </c>
      <c r="D246" t="inlineStr">
        <is>
          <t>ÖREBRO LÄN</t>
        </is>
      </c>
      <c r="E246" t="inlineStr">
        <is>
          <t>KARLSKOGA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10506-2025</t>
        </is>
      </c>
      <c r="B247" s="1" t="n">
        <v>45721</v>
      </c>
      <c r="C247" s="1" t="n">
        <v>46133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21247-2025</t>
        </is>
      </c>
      <c r="B248" s="1" t="n">
        <v>45779.57381944444</v>
      </c>
      <c r="C248" s="1" t="n">
        <v>46133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21210-2025</t>
        </is>
      </c>
      <c r="B249" s="1" t="n">
        <v>45779.48717592593</v>
      </c>
      <c r="C249" s="1" t="n">
        <v>46133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22234-2025</t>
        </is>
      </c>
      <c r="B250" s="1" t="n">
        <v>45785</v>
      </c>
      <c r="C250" s="1" t="n">
        <v>46133</v>
      </c>
      <c r="D250" t="inlineStr">
        <is>
          <t>ÖREBRO LÄN</t>
        </is>
      </c>
      <c r="E250" t="inlineStr">
        <is>
          <t>KARLSKOGA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38742-2023</t>
        </is>
      </c>
      <c r="B251" s="1" t="n">
        <v>45161</v>
      </c>
      <c r="C251" s="1" t="n">
        <v>46133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22244-2025</t>
        </is>
      </c>
      <c r="B252" s="1" t="n">
        <v>45785.67974537037</v>
      </c>
      <c r="C252" s="1" t="n">
        <v>46133</v>
      </c>
      <c r="D252" t="inlineStr">
        <is>
          <t>ÖREBRO LÄN</t>
        </is>
      </c>
      <c r="E252" t="inlineStr">
        <is>
          <t>KARLSKOGA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21845-2025</t>
        </is>
      </c>
      <c r="B253" s="1" t="n">
        <v>45784.33908564815</v>
      </c>
      <c r="C253" s="1" t="n">
        <v>46133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2026-04-21T10:50:42Z</dcterms:created>
  <dcterms:modified xmlns:dcterms="http://purl.org/dc/terms/" xmlns:xsi="http://www.w3.org/2001/XMLSchema-instance" xsi:type="dcterms:W3CDTF">2026-04-21T10:50:43Z</dcterms:modified>
</cp:coreProperties>
</file>