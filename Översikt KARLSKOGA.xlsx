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3897-2024</t>
        </is>
      </c>
      <c r="B2" t="inlineStr">
        <is>
          <t>samrådsanmälan</t>
        </is>
      </c>
      <c r="C2" t="inlineStr">
        <is>
          <t>Skogsgödsling</t>
        </is>
      </c>
      <c r="D2" s="1" t="n">
        <v>45562</v>
      </c>
      <c r="E2" s="1" t="n">
        <v>46220</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Y2">
        <f>HYPERLINK("https://klasma.github.io/Logging_1883/klagomål/S 3897-2024 FSC-klagomål.docx", "S 3897-2024")</f>
        <v/>
      </c>
      <c r="Z2">
        <f>HYPERLINK("https://klasma.github.io/Logging_1883/klagomålsmail/S 3897-2024 FSC-klagomål mail.docx", "S 3897-2024")</f>
        <v/>
      </c>
      <c r="AA2">
        <f>HYPERLINK("https://klasma.github.io/Logging_1883/tillsyn/S 3897-2024 tillsynsbegäran.docx", "S 3897-2024")</f>
        <v/>
      </c>
      <c r="AB2">
        <f>HYPERLINK("https://klasma.github.io/Logging_1883/tillsynsmail/S 3897-2024 tillsynsbegäran mail.docx", "S 3897-2024")</f>
        <v/>
      </c>
      <c r="AC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46220</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Y3">
        <f>HYPERLINK("https://klasma.github.io/Logging_1883/klagomål/A 53025-2025 FSC-klagomål.docx", "A 53025-2025")</f>
        <v/>
      </c>
      <c r="Z3">
        <f>HYPERLINK("https://klasma.github.io/Logging_1883/klagomålsmail/A 53025-2025 FSC-klagomål mail.docx", "A 53025-2025")</f>
        <v/>
      </c>
      <c r="AA3">
        <f>HYPERLINK("https://klasma.github.io/Logging_1883/tillsyn/A 53025-2025 tillsynsbegäran.docx", "A 53025-2025")</f>
        <v/>
      </c>
      <c r="AB3">
        <f>HYPERLINK("https://klasma.github.io/Logging_1883/tillsynsmail/A 53025-2025 tillsynsbegäran mail.docx", "A 53025-2025")</f>
        <v/>
      </c>
      <c r="AC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Y4">
        <f>HYPERLINK("https://klasma.github.io/Logging_1883/klagomål/A 59524-2025 FSC-klagomål.docx", "A 59524-2025")</f>
        <v/>
      </c>
      <c r="Z4">
        <f>HYPERLINK("https://klasma.github.io/Logging_1883/klagomålsmail/A 59524-2025 FSC-klagomål mail.docx", "A 59524-2025")</f>
        <v/>
      </c>
      <c r="AA4">
        <f>HYPERLINK("https://klasma.github.io/Logging_1883/tillsyn/A 59524-2025 tillsynsbegäran.docx", "A 59524-2025")</f>
        <v/>
      </c>
      <c r="AB4">
        <f>HYPERLINK("https://klasma.github.io/Logging_1883/tillsynsmail/A 59524-2025 tillsynsbegäran mail.docx", "A 59524-2025")</f>
        <v/>
      </c>
      <c r="AC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46220</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Y5">
        <f>HYPERLINK("https://klasma.github.io/Logging_1883/klagomål/A 64125-2021 FSC-klagomål.docx", "A 64125-2021")</f>
        <v/>
      </c>
      <c r="Z5">
        <f>HYPERLINK("https://klasma.github.io/Logging_1883/klagomålsmail/A 64125-2021 FSC-klagomål mail.docx", "A 64125-2021")</f>
        <v/>
      </c>
      <c r="AA5">
        <f>HYPERLINK("https://klasma.github.io/Logging_1883/tillsyn/A 64125-2021 tillsynsbegäran.docx", "A 64125-2021")</f>
        <v/>
      </c>
      <c r="AB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46220</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Y6">
        <f>HYPERLINK("https://klasma.github.io/Logging_1883/klagomål/A 14339-2026 FSC-klagomål.docx", "A 14339-2026")</f>
        <v/>
      </c>
      <c r="Z6">
        <f>HYPERLINK("https://klasma.github.io/Logging_1883/klagomålsmail/A 14339-2026 FSC-klagomål mail.docx", "A 14339-2026")</f>
        <v/>
      </c>
      <c r="AA6">
        <f>HYPERLINK("https://klasma.github.io/Logging_1883/tillsyn/A 14339-2026 tillsynsbegäran.docx", "A 14339-2026")</f>
        <v/>
      </c>
      <c r="AB6">
        <f>HYPERLINK("https://klasma.github.io/Logging_1883/tillsynsmail/A 14339-2026 tillsynsbegäran mail.docx", "A 14339-2026")</f>
        <v/>
      </c>
      <c r="AC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46220</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Y7">
        <f>HYPERLINK("https://klasma.github.io/Logging_1883/klagomål/A 59523-2025 FSC-klagomål.docx", "A 59523-2025")</f>
        <v/>
      </c>
      <c r="Z7">
        <f>HYPERLINK("https://klasma.github.io/Logging_1883/klagomålsmail/A 59523-2025 FSC-klagomål mail.docx", "A 59523-2025")</f>
        <v/>
      </c>
      <c r="AA7">
        <f>HYPERLINK("https://klasma.github.io/Logging_1883/tillsyn/A 59523-2025 tillsynsbegäran.docx", "A 59523-2025")</f>
        <v/>
      </c>
      <c r="AB7">
        <f>HYPERLINK("https://klasma.github.io/Logging_1883/tillsynsmail/A 59523-2025 tillsynsbegäran mail.docx", "A 59523-2025")</f>
        <v/>
      </c>
      <c r="AC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46220</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Y8">
        <f>HYPERLINK("https://klasma.github.io/Logging_1883/klagomål/S 7441-2021 FSC-klagomål.docx", "S 7441-2021")</f>
        <v/>
      </c>
      <c r="Z8">
        <f>HYPERLINK("https://klasma.github.io/Logging_1883/klagomålsmail/S 7441-2021 FSC-klagomål mail.docx", "S 7441-2021")</f>
        <v/>
      </c>
      <c r="AA8">
        <f>HYPERLINK("https://klasma.github.io/Logging_1883/tillsyn/S 7441-2021 tillsynsbegäran.docx", "S 7441-2021")</f>
        <v/>
      </c>
      <c r="AB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46220</v>
      </c>
      <c r="F9" t="inlineStr">
        <is>
          <t>ÖREBRO LÄN</t>
        </is>
      </c>
      <c r="G9" t="inlineStr">
        <is>
          <t>KARLSKOGA</t>
        </is>
      </c>
      <c r="I9" t="n">
        <v>2.7</v>
      </c>
      <c r="J9" t="n">
        <v>0</v>
      </c>
      <c r="K9" t="n">
        <v>3</v>
      </c>
      <c r="L9" t="n">
        <v>1</v>
      </c>
      <c r="M9" t="n">
        <v>0</v>
      </c>
      <c r="N9" t="n">
        <v>0</v>
      </c>
      <c r="O9" t="n">
        <v>0</v>
      </c>
      <c r="P9" t="n">
        <v>0</v>
      </c>
      <c r="Q9" t="n">
        <v>1</v>
      </c>
      <c r="R9" t="n">
        <v>0</v>
      </c>
      <c r="S9" t="n">
        <v>4</v>
      </c>
      <c r="T9" t="n">
        <v>8</v>
      </c>
      <c r="U9" s="2" t="inlineStr">
        <is>
          <t>Dofttaggsvamp
Platt fjädermossa
Skogshakmossa
Trubbfjädermossa</t>
        </is>
      </c>
      <c r="V9">
        <f>HYPERLINK("https://klasma.github.io/Logging_1883/artfynd/A 8803-2026 artfynd.xlsx", "A 8803-2026")</f>
        <v/>
      </c>
      <c r="W9">
        <f>HYPERLINK("https://klasma.github.io/Logging_1883/kartor/A 8803-2026 karta.png", "A 8803-2026")</f>
        <v/>
      </c>
      <c r="Y9">
        <f>HYPERLINK("https://klasma.github.io/Logging_1883/klagomål/A 8803-2026 FSC-klagomål.docx", "A 8803-2026")</f>
        <v/>
      </c>
      <c r="Z9">
        <f>HYPERLINK("https://klasma.github.io/Logging_1883/klagomålsmail/A 8803-2026 FSC-klagomål mail.docx", "A 8803-2026")</f>
        <v/>
      </c>
      <c r="AA9">
        <f>HYPERLINK("https://klasma.github.io/Logging_1883/tillsyn/A 8803-2026 tillsynsbegäran.docx", "A 8803-2026")</f>
        <v/>
      </c>
      <c r="AB9">
        <f>HYPERLINK("https://klasma.github.io/Logging_1883/tillsynsmail/A 8803-2026 tillsynsbegäran mail.docx", "A 8803-2026")</f>
        <v/>
      </c>
    </row>
    <row r="10" ht="15" customHeight="1">
      <c r="A10" t="inlineStr">
        <is>
          <t>A 60085-2021</t>
        </is>
      </c>
      <c r="B10" t="inlineStr">
        <is>
          <t>avverkningsanmälan</t>
        </is>
      </c>
      <c r="C10" t="inlineStr">
        <is>
          <t>Föryngringsavverkning</t>
        </is>
      </c>
      <c r="D10" s="1" t="n">
        <v>44495</v>
      </c>
      <c r="E10" s="1" t="n">
        <v>46220</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s="2" t="inlineStr">
        <is>
          <t>Citronfingersvamp
Mörk husmossa
Svart trolldruva
Västlig hakmossa</t>
        </is>
      </c>
      <c r="V10">
        <f>HYPERLINK("https://klasma.github.io/Logging_1883/artfynd/A 60085-2021 artfynd.xlsx", "A 60085-2021")</f>
        <v/>
      </c>
      <c r="W10">
        <f>HYPERLINK("https://klasma.github.io/Logging_1883/kartor/A 60085-2021 karta.png", "A 60085-2021")</f>
        <v/>
      </c>
      <c r="Y10">
        <f>HYPERLINK("https://klasma.github.io/Logging_1883/klagomål/A 60085-2021 FSC-klagomål.docx", "A 60085-2021")</f>
        <v/>
      </c>
      <c r="Z10">
        <f>HYPERLINK("https://klasma.github.io/Logging_1883/klagomålsmail/A 60085-2021 FSC-klagomål mail.docx", "A 60085-2021")</f>
        <v/>
      </c>
      <c r="AA10">
        <f>HYPERLINK("https://klasma.github.io/Logging_1883/tillsyn/A 60085-2021 tillsynsbegäran.docx", "A 60085-2021")</f>
        <v/>
      </c>
      <c r="AB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46220</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s="2" t="inlineStr">
        <is>
          <t>Talltita
Bronshjon
Korallblylav
Tjäder</t>
        </is>
      </c>
      <c r="V11">
        <f>HYPERLINK("https://klasma.github.io/Logging_1883/artfynd/A 63187-2025 artfynd.xlsx", "A 63187-2025")</f>
        <v/>
      </c>
      <c r="W11">
        <f>HYPERLINK("https://klasma.github.io/Logging_1883/kartor/A 63187-2025 karta.png", "A 63187-2025")</f>
        <v/>
      </c>
      <c r="Y11">
        <f>HYPERLINK("https://klasma.github.io/Logging_1883/klagomål/A 63187-2025 FSC-klagomål.docx", "A 63187-2025")</f>
        <v/>
      </c>
      <c r="Z11">
        <f>HYPERLINK("https://klasma.github.io/Logging_1883/klagomålsmail/A 63187-2025 FSC-klagomål mail.docx", "A 63187-2025")</f>
        <v/>
      </c>
      <c r="AA11">
        <f>HYPERLINK("https://klasma.github.io/Logging_1883/tillsyn/A 63187-2025 tillsynsbegäran.docx", "A 63187-2025")</f>
        <v/>
      </c>
      <c r="AB11">
        <f>HYPERLINK("https://klasma.github.io/Logging_1883/tillsynsmail/A 63187-2025 tillsynsbegäran mail.docx", "A 63187-2025")</f>
        <v/>
      </c>
      <c r="AC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46220</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s="2" t="inlineStr">
        <is>
          <t>Spillkråka
Tjäder
Grönsiska
Kungsfågel</t>
        </is>
      </c>
      <c r="V12">
        <f>HYPERLINK("https://klasma.github.io/Logging_1883/artfynd/A 20111-2026 artfynd.xlsx", "A 20111-2026")</f>
        <v/>
      </c>
      <c r="W12">
        <f>HYPERLINK("https://klasma.github.io/Logging_1883/kartor/A 20111-2026 karta.png", "A 20111-2026")</f>
        <v/>
      </c>
      <c r="Y12">
        <f>HYPERLINK("https://klasma.github.io/Logging_1883/klagomål/A 20111-2026 FSC-klagomål.docx", "A 20111-2026")</f>
        <v/>
      </c>
      <c r="Z12">
        <f>HYPERLINK("https://klasma.github.io/Logging_1883/klagomålsmail/A 20111-2026 FSC-klagomål mail.docx", "A 20111-2026")</f>
        <v/>
      </c>
      <c r="AA12">
        <f>HYPERLINK("https://klasma.github.io/Logging_1883/tillsyn/A 20111-2026 tillsynsbegäran.docx", "A 20111-2026")</f>
        <v/>
      </c>
      <c r="AB12">
        <f>HYPERLINK("https://klasma.github.io/Logging_1883/tillsynsmail/A 20111-2026 tillsynsbegäran mail.docx", "A 20111-2026")</f>
        <v/>
      </c>
      <c r="AC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46220</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Y13">
        <f>HYPERLINK("https://klasma.github.io/Logging_1883/klagomål/A 44723-2021 FSC-klagomål.docx", "A 44723-2021")</f>
        <v/>
      </c>
      <c r="Z13">
        <f>HYPERLINK("https://klasma.github.io/Logging_1883/klagomålsmail/A 44723-2021 FSC-klagomål mail.docx", "A 44723-2021")</f>
        <v/>
      </c>
      <c r="AA13">
        <f>HYPERLINK("https://klasma.github.io/Logging_1883/tillsyn/A 44723-2021 tillsynsbegäran.docx", "A 44723-2021")</f>
        <v/>
      </c>
      <c r="AB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46220</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s="2" t="inlineStr">
        <is>
          <t>Talltita
Brudborste
Revlummer</t>
        </is>
      </c>
      <c r="V14">
        <f>HYPERLINK("https://klasma.github.io/Logging_1883/artfynd/A 63185-2025 artfynd.xlsx", "A 63185-2025")</f>
        <v/>
      </c>
      <c r="W14">
        <f>HYPERLINK("https://klasma.github.io/Logging_1883/kartor/A 63185-2025 karta.png", "A 63185-2025")</f>
        <v/>
      </c>
      <c r="Y14">
        <f>HYPERLINK("https://klasma.github.io/Logging_1883/klagomål/A 63185-2025 FSC-klagomål.docx", "A 63185-2025")</f>
        <v/>
      </c>
      <c r="Z14">
        <f>HYPERLINK("https://klasma.github.io/Logging_1883/klagomålsmail/A 63185-2025 FSC-klagomål mail.docx", "A 63185-2025")</f>
        <v/>
      </c>
      <c r="AA14">
        <f>HYPERLINK("https://klasma.github.io/Logging_1883/tillsyn/A 63185-2025 tillsynsbegäran.docx", "A 63185-2025")</f>
        <v/>
      </c>
      <c r="AB14">
        <f>HYPERLINK("https://klasma.github.io/Logging_1883/tillsynsmail/A 63185-2025 tillsynsbegäran mail.docx", "A 63185-2025")</f>
        <v/>
      </c>
      <c r="AC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46220</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s="2" t="inlineStr">
        <is>
          <t>Garnlav
Skuggblåslav
Tjäder</t>
        </is>
      </c>
      <c r="V15">
        <f>HYPERLINK("https://klasma.github.io/Logging_1883/artfynd/A 18428-2026 artfynd.xlsx", "A 18428-2026")</f>
        <v/>
      </c>
      <c r="W15">
        <f>HYPERLINK("https://klasma.github.io/Logging_1883/kartor/A 18428-2026 karta.png", "A 18428-2026")</f>
        <v/>
      </c>
      <c r="Y15">
        <f>HYPERLINK("https://klasma.github.io/Logging_1883/klagomål/A 18428-2026 FSC-klagomål.docx", "A 18428-2026")</f>
        <v/>
      </c>
      <c r="Z15">
        <f>HYPERLINK("https://klasma.github.io/Logging_1883/klagomålsmail/A 18428-2026 FSC-klagomål mail.docx", "A 18428-2026")</f>
        <v/>
      </c>
      <c r="AA15">
        <f>HYPERLINK("https://klasma.github.io/Logging_1883/tillsyn/A 18428-2026 tillsynsbegäran.docx", "A 18428-2026")</f>
        <v/>
      </c>
      <c r="AB15">
        <f>HYPERLINK("https://klasma.github.io/Logging_1883/tillsynsmail/A 18428-2026 tillsynsbegäran mail.docx", "A 18428-2026")</f>
        <v/>
      </c>
      <c r="AC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46220</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s="2" t="inlineStr">
        <is>
          <t>Garnlav
Talltita
Vedticka</t>
        </is>
      </c>
      <c r="V16">
        <f>HYPERLINK("https://klasma.github.io/Logging_1883/artfynd/A 20108-2026 artfynd.xlsx", "A 20108-2026")</f>
        <v/>
      </c>
      <c r="W16">
        <f>HYPERLINK("https://klasma.github.io/Logging_1883/kartor/A 20108-2026 karta.png", "A 20108-2026")</f>
        <v/>
      </c>
      <c r="Y16">
        <f>HYPERLINK("https://klasma.github.io/Logging_1883/klagomål/A 20108-2026 FSC-klagomål.docx", "A 20108-2026")</f>
        <v/>
      </c>
      <c r="Z16">
        <f>HYPERLINK("https://klasma.github.io/Logging_1883/klagomålsmail/A 20108-2026 FSC-klagomål mail.docx", "A 20108-2026")</f>
        <v/>
      </c>
      <c r="AA16">
        <f>HYPERLINK("https://klasma.github.io/Logging_1883/tillsyn/A 20108-2026 tillsynsbegäran.docx", "A 20108-2026")</f>
        <v/>
      </c>
      <c r="AB16">
        <f>HYPERLINK("https://klasma.github.io/Logging_1883/tillsynsmail/A 20108-2026 tillsynsbegäran mail.docx", "A 20108-2026")</f>
        <v/>
      </c>
      <c r="AC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46220</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s="2" t="inlineStr">
        <is>
          <t>Tretåig hackspett
Spillkråka
Tofsmes</t>
        </is>
      </c>
      <c r="V17">
        <f>HYPERLINK("https://klasma.github.io/Logging_1883/artfynd/A 20112-2026 artfynd.xlsx", "A 20112-2026")</f>
        <v/>
      </c>
      <c r="W17">
        <f>HYPERLINK("https://klasma.github.io/Logging_1883/kartor/A 20112-2026 karta.png", "A 20112-2026")</f>
        <v/>
      </c>
      <c r="Y17">
        <f>HYPERLINK("https://klasma.github.io/Logging_1883/klagomål/A 20112-2026 FSC-klagomål.docx", "A 20112-2026")</f>
        <v/>
      </c>
      <c r="Z17">
        <f>HYPERLINK("https://klasma.github.io/Logging_1883/klagomålsmail/A 20112-2026 FSC-klagomål mail.docx", "A 20112-2026")</f>
        <v/>
      </c>
      <c r="AA17">
        <f>HYPERLINK("https://klasma.github.io/Logging_1883/tillsyn/A 20112-2026 tillsynsbegäran.docx", "A 20112-2026")</f>
        <v/>
      </c>
      <c r="AB17">
        <f>HYPERLINK("https://klasma.github.io/Logging_1883/tillsynsmail/A 20112-2026 tillsynsbegäran mail.docx", "A 20112-2026")</f>
        <v/>
      </c>
      <c r="AC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46220</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Y18">
        <f>HYPERLINK("https://klasma.github.io/Logging_1883/klagomål/S 3545-2025 FSC-klagomål.docx", "S 3545-2025")</f>
        <v/>
      </c>
      <c r="Z18">
        <f>HYPERLINK("https://klasma.github.io/Logging_1883/klagomålsmail/S 3545-2025 FSC-klagomål mail.docx", "S 3545-2025")</f>
        <v/>
      </c>
      <c r="AA18">
        <f>HYPERLINK("https://klasma.github.io/Logging_1883/tillsyn/S 3545-2025 tillsynsbegäran.docx", "S 3545-2025")</f>
        <v/>
      </c>
      <c r="AB18">
        <f>HYPERLINK("https://klasma.github.io/Logging_1883/tillsynsmail/S 3545-2025 tillsynsbegäran mail.docx", "S 3545-2025")</f>
        <v/>
      </c>
      <c r="AC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46220</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s="2" t="inlineStr">
        <is>
          <t>Talltita
Tjäder</t>
        </is>
      </c>
      <c r="V19">
        <f>HYPERLINK("https://klasma.github.io/Logging_1883/artfynd/A 39025-2022 artfynd.xlsx", "A 39025-2022")</f>
        <v/>
      </c>
      <c r="W19">
        <f>HYPERLINK("https://klasma.github.io/Logging_1883/kartor/A 39025-2022 karta.png", "A 39025-2022")</f>
        <v/>
      </c>
      <c r="Y19">
        <f>HYPERLINK("https://klasma.github.io/Logging_1883/klagomål/A 39025-2022 FSC-klagomål.docx", "A 39025-2022")</f>
        <v/>
      </c>
      <c r="Z19">
        <f>HYPERLINK("https://klasma.github.io/Logging_1883/klagomålsmail/A 39025-2022 FSC-klagomål mail.docx", "A 39025-2022")</f>
        <v/>
      </c>
      <c r="AA19">
        <f>HYPERLINK("https://klasma.github.io/Logging_1883/tillsyn/A 39025-2022 tillsynsbegäran.docx", "A 39025-2022")</f>
        <v/>
      </c>
      <c r="AB19">
        <f>HYPERLINK("https://klasma.github.io/Logging_1883/tillsynsmail/A 39025-2022 tillsynsbegäran mail.docx", "A 39025-2022")</f>
        <v/>
      </c>
      <c r="AC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46220</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s="2" t="inlineStr">
        <is>
          <t>Storgröe
Utter</t>
        </is>
      </c>
      <c r="V20">
        <f>HYPERLINK("https://klasma.github.io/Logging_1883/artfynd/A 39936-2024 artfynd.xlsx", "A 39936-2024")</f>
        <v/>
      </c>
      <c r="W20">
        <f>HYPERLINK("https://klasma.github.io/Logging_1883/kartor/A 39936-2024 karta.png", "A 39936-2024")</f>
        <v/>
      </c>
      <c r="Y20">
        <f>HYPERLINK("https://klasma.github.io/Logging_1883/klagomål/A 39936-2024 FSC-klagomål.docx", "A 39936-2024")</f>
        <v/>
      </c>
      <c r="Z20">
        <f>HYPERLINK("https://klasma.github.io/Logging_1883/klagomålsmail/A 39936-2024 FSC-klagomål mail.docx", "A 39936-2024")</f>
        <v/>
      </c>
      <c r="AA20">
        <f>HYPERLINK("https://klasma.github.io/Logging_1883/tillsyn/A 39936-2024 tillsynsbegäran.docx", "A 39936-2024")</f>
        <v/>
      </c>
      <c r="AB20">
        <f>HYPERLINK("https://klasma.github.io/Logging_1883/tillsynsmail/A 39936-2024 tillsynsbegäran mail.docx", "A 39936-2024")</f>
        <v/>
      </c>
    </row>
    <row r="21" ht="15" customHeight="1">
      <c r="A21" t="inlineStr">
        <is>
          <t>A 52377-2025</t>
        </is>
      </c>
      <c r="B21" t="inlineStr">
        <is>
          <t>avverkningsanmälan</t>
        </is>
      </c>
      <c r="C21" t="inlineStr">
        <is>
          <t>Föryngringsavverkning</t>
        </is>
      </c>
      <c r="D21" s="1" t="n">
        <v>45953</v>
      </c>
      <c r="E21" s="1" t="n">
        <v>46220</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s="2" t="inlineStr">
        <is>
          <t>Fläcknycklar</t>
        </is>
      </c>
      <c r="V21">
        <f>HYPERLINK("https://klasma.github.io/Logging_1883/artfynd/A 52377-2025 artfynd.xlsx", "A 52377-2025")</f>
        <v/>
      </c>
      <c r="W21">
        <f>HYPERLINK("https://klasma.github.io/Logging_1883/kartor/A 52377-2025 karta.png", "A 52377-2025")</f>
        <v/>
      </c>
      <c r="Y21">
        <f>HYPERLINK("https://klasma.github.io/Logging_1883/klagomål/A 52377-2025 FSC-klagomål.docx", "A 52377-2025")</f>
        <v/>
      </c>
      <c r="Z21">
        <f>HYPERLINK("https://klasma.github.io/Logging_1883/klagomålsmail/A 52377-2025 FSC-klagomål mail.docx", "A 52377-2025")</f>
        <v/>
      </c>
      <c r="AA21">
        <f>HYPERLINK("https://klasma.github.io/Logging_1883/tillsyn/A 52377-2025 tillsynsbegäran.docx", "A 52377-2025")</f>
        <v/>
      </c>
      <c r="AB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46220</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s="2" t="inlineStr">
        <is>
          <t>Tretåig hackspett</t>
        </is>
      </c>
      <c r="V22">
        <f>HYPERLINK("https://klasma.github.io/Logging_1883/artfynd/A 63188-2025 artfynd.xlsx", "A 63188-2025")</f>
        <v/>
      </c>
      <c r="W22">
        <f>HYPERLINK("https://klasma.github.io/Logging_1883/kartor/A 63188-2025 karta.png", "A 63188-2025")</f>
        <v/>
      </c>
      <c r="Y22">
        <f>HYPERLINK("https://klasma.github.io/Logging_1883/klagomål/A 63188-2025 FSC-klagomål.docx", "A 63188-2025")</f>
        <v/>
      </c>
      <c r="Z22">
        <f>HYPERLINK("https://klasma.github.io/Logging_1883/klagomålsmail/A 63188-2025 FSC-klagomål mail.docx", "A 63188-2025")</f>
        <v/>
      </c>
      <c r="AA22">
        <f>HYPERLINK("https://klasma.github.io/Logging_1883/tillsyn/A 63188-2025 tillsynsbegäran.docx", "A 63188-2025")</f>
        <v/>
      </c>
      <c r="AB22">
        <f>HYPERLINK("https://klasma.github.io/Logging_1883/tillsynsmail/A 63188-2025 tillsynsbegäran mail.docx", "A 63188-2025")</f>
        <v/>
      </c>
      <c r="AC22">
        <f>HYPERLINK("https://klasma.github.io/Logging_1883/fåglar/A 63188-2025 prioriterade fågelarter.docx", "A 63188-2025")</f>
        <v/>
      </c>
    </row>
    <row r="23" ht="15" customHeight="1">
      <c r="A23" t="inlineStr">
        <is>
          <t>A 16784-2026</t>
        </is>
      </c>
      <c r="B23" t="inlineStr">
        <is>
          <t>avverkningsanmälan</t>
        </is>
      </c>
      <c r="C23" t="inlineStr">
        <is>
          <t>Föryngringsavverkning</t>
        </is>
      </c>
      <c r="D23" s="1" t="n">
        <v>46113</v>
      </c>
      <c r="E23" s="1" t="n">
        <v>46220</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s="2" t="inlineStr">
        <is>
          <t>Hårklomossa</t>
        </is>
      </c>
      <c r="V23">
        <f>HYPERLINK("https://klasma.github.io/Logging_1883/artfynd/A 16784-2026 artfynd.xlsx", "A 16784-2026")</f>
        <v/>
      </c>
      <c r="W23">
        <f>HYPERLINK("https://klasma.github.io/Logging_1883/kartor/A 16784-2026 karta.png", "A 16784-2026")</f>
        <v/>
      </c>
      <c r="Y23">
        <f>HYPERLINK("https://klasma.github.io/Logging_1883/klagomål/A 16784-2026 FSC-klagomål.docx", "A 16784-2026")</f>
        <v/>
      </c>
      <c r="Z23">
        <f>HYPERLINK("https://klasma.github.io/Logging_1883/klagomålsmail/A 16784-2026 FSC-klagomål mail.docx", "A 16784-2026")</f>
        <v/>
      </c>
      <c r="AA23">
        <f>HYPERLINK("https://klasma.github.io/Logging_1883/tillsyn/A 16784-2026 tillsynsbegäran.docx", "A 16784-2026")</f>
        <v/>
      </c>
      <c r="AB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46220</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s="2" t="inlineStr">
        <is>
          <t>Tjäder</t>
        </is>
      </c>
      <c r="V24">
        <f>HYPERLINK("https://klasma.github.io/Logging_1883/artfynd/A 18427-2026 artfynd.xlsx", "A 18427-2026")</f>
        <v/>
      </c>
      <c r="W24">
        <f>HYPERLINK("https://klasma.github.io/Logging_1883/kartor/A 18427-2026 karta.png", "A 18427-2026")</f>
        <v/>
      </c>
      <c r="Y24">
        <f>HYPERLINK("https://klasma.github.io/Logging_1883/klagomål/A 18427-2026 FSC-klagomål.docx", "A 18427-2026")</f>
        <v/>
      </c>
      <c r="Z24">
        <f>HYPERLINK("https://klasma.github.io/Logging_1883/klagomålsmail/A 18427-2026 FSC-klagomål mail.docx", "A 18427-2026")</f>
        <v/>
      </c>
      <c r="AA24">
        <f>HYPERLINK("https://klasma.github.io/Logging_1883/tillsyn/A 18427-2026 tillsynsbegäran.docx", "A 18427-2026")</f>
        <v/>
      </c>
      <c r="AB24">
        <f>HYPERLINK("https://klasma.github.io/Logging_1883/tillsynsmail/A 18427-2026 tillsynsbegäran mail.docx", "A 18427-2026")</f>
        <v/>
      </c>
      <c r="AC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46220</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s="2" t="inlineStr">
        <is>
          <t>Svart trolldruva</t>
        </is>
      </c>
      <c r="V25">
        <f>HYPERLINK("https://klasma.github.io/Logging_1883/artfynd/A 19233-2026 artfynd.xlsx", "A 19233-2026")</f>
        <v/>
      </c>
      <c r="W25">
        <f>HYPERLINK("https://klasma.github.io/Logging_1883/kartor/A 19233-2026 karta.png", "A 19233-2026")</f>
        <v/>
      </c>
      <c r="Y25">
        <f>HYPERLINK("https://klasma.github.io/Logging_1883/klagomål/A 19233-2026 FSC-klagomål.docx", "A 19233-2026")</f>
        <v/>
      </c>
      <c r="Z25">
        <f>HYPERLINK("https://klasma.github.io/Logging_1883/klagomålsmail/A 19233-2026 FSC-klagomål mail.docx", "A 19233-2026")</f>
        <v/>
      </c>
      <c r="AA25">
        <f>HYPERLINK("https://klasma.github.io/Logging_1883/tillsyn/A 19233-2026 tillsynsbegäran.docx", "A 19233-2026")</f>
        <v/>
      </c>
      <c r="AB25">
        <f>HYPERLINK("https://klasma.github.io/Logging_1883/tillsynsmail/A 19233-2026 tillsynsbegäran mail.docx", "A 19233-2026")</f>
        <v/>
      </c>
    </row>
    <row r="26" ht="15" customHeight="1">
      <c r="A26" t="inlineStr">
        <is>
          <t>A 58091-2022</t>
        </is>
      </c>
      <c r="B26" t="inlineStr">
        <is>
          <t>avverkningsanmälan</t>
        </is>
      </c>
      <c r="C26" t="inlineStr">
        <is>
          <t>Föryngringsavverkning</t>
        </is>
      </c>
      <c r="D26" s="1" t="n">
        <v>44900</v>
      </c>
      <c r="E26" s="1" t="n">
        <v>46220</v>
      </c>
      <c r="F26" t="inlineStr">
        <is>
          <t>ÖREBRO LÄN</t>
        </is>
      </c>
      <c r="G26" t="inlineStr">
        <is>
          <t>KARLSKOGA</t>
        </is>
      </c>
      <c r="H26" t="inlineStr">
        <is>
          <t>Sveaskog</t>
        </is>
      </c>
      <c r="I26" t="n">
        <v>2.1</v>
      </c>
      <c r="J26" t="n">
        <v>1</v>
      </c>
      <c r="K26" t="n">
        <v>0</v>
      </c>
      <c r="L26" t="n">
        <v>0</v>
      </c>
      <c r="M26" t="n">
        <v>0</v>
      </c>
      <c r="N26" t="n">
        <v>0</v>
      </c>
      <c r="O26" t="n">
        <v>0</v>
      </c>
      <c r="P26" t="n">
        <v>0</v>
      </c>
      <c r="Q26" t="n">
        <v>0</v>
      </c>
      <c r="R26" t="n">
        <v>0</v>
      </c>
      <c r="S26" t="n">
        <v>1</v>
      </c>
      <c r="T26" t="n">
        <v>2</v>
      </c>
      <c r="U26" s="2" t="inlineStr">
        <is>
          <t>Hårklomossa</t>
        </is>
      </c>
      <c r="V26">
        <f>HYPERLINK("https://klasma.github.io/Logging_1883/artfynd/A 58091-2022 artfynd.xlsx", "A 58091-2022")</f>
        <v/>
      </c>
      <c r="W26">
        <f>HYPERLINK("https://klasma.github.io/Logging_1883/kartor/A 58091-2022 karta.png", "A 58091-2022")</f>
        <v/>
      </c>
      <c r="Y26">
        <f>HYPERLINK("https://klasma.github.io/Logging_1883/klagomål/A 58091-2022 FSC-klagomål.docx", "A 58091-2022")</f>
        <v/>
      </c>
      <c r="Z26">
        <f>HYPERLINK("https://klasma.github.io/Logging_1883/klagomålsmail/A 58091-2022 FSC-klagomål mail.docx", "A 58091-2022")</f>
        <v/>
      </c>
      <c r="AA26">
        <f>HYPERLINK("https://klasma.github.io/Logging_1883/tillsyn/A 58091-2022 tillsynsbegäran.docx", "A 58091-2022")</f>
        <v/>
      </c>
      <c r="AB26">
        <f>HYPERLINK("https://klasma.github.io/Logging_1883/tillsynsmail/A 58091-2022 tillsynsbegäran mail.docx", "A 58091-2022")</f>
        <v/>
      </c>
    </row>
    <row r="27" ht="15" customHeight="1">
      <c r="A27" t="inlineStr">
        <is>
          <t>A 20110-2026</t>
        </is>
      </c>
      <c r="B27" t="inlineStr">
        <is>
          <t>avverkningsanmälan</t>
        </is>
      </c>
      <c r="C27" t="inlineStr">
        <is>
          <t>Föryngringsavverkning</t>
        </is>
      </c>
      <c r="D27" s="1" t="n">
        <v>46136</v>
      </c>
      <c r="E27" s="1" t="n">
        <v>46220</v>
      </c>
      <c r="F27" t="inlineStr">
        <is>
          <t>ÖREBRO LÄN</t>
        </is>
      </c>
      <c r="G27" t="inlineStr">
        <is>
          <t>KARLSKOGA</t>
        </is>
      </c>
      <c r="H27" t="inlineStr">
        <is>
          <t>Sveaskog</t>
        </is>
      </c>
      <c r="I27" t="n">
        <v>5.4</v>
      </c>
      <c r="J27" t="n">
        <v>1</v>
      </c>
      <c r="K27" t="n">
        <v>0</v>
      </c>
      <c r="L27" t="n">
        <v>0</v>
      </c>
      <c r="M27" t="n">
        <v>0</v>
      </c>
      <c r="N27" t="n">
        <v>0</v>
      </c>
      <c r="O27" t="n">
        <v>0</v>
      </c>
      <c r="P27" t="n">
        <v>0</v>
      </c>
      <c r="Q27" t="n">
        <v>0</v>
      </c>
      <c r="R27" t="n">
        <v>0</v>
      </c>
      <c r="S27" t="n">
        <v>1</v>
      </c>
      <c r="T27" t="n">
        <v>1</v>
      </c>
      <c r="U27" s="2" t="inlineStr">
        <is>
          <t>Revlummer</t>
        </is>
      </c>
      <c r="V27">
        <f>HYPERLINK("https://klasma.github.io/Logging_1883/artfynd/A 20110-2026 artfynd.xlsx", "A 20110-2026")</f>
        <v/>
      </c>
      <c r="W27">
        <f>HYPERLINK("https://klasma.github.io/Logging_1883/kartor/A 20110-2026 karta.png", "A 20110-2026")</f>
        <v/>
      </c>
      <c r="Y27">
        <f>HYPERLINK("https://klasma.github.io/Logging_1883/klagomål/A 20110-2026 FSC-klagomål.docx", "A 20110-2026")</f>
        <v/>
      </c>
      <c r="Z27">
        <f>HYPERLINK("https://klasma.github.io/Logging_1883/klagomålsmail/A 20110-2026 FSC-klagomål mail.docx", "A 20110-2026")</f>
        <v/>
      </c>
      <c r="AA27">
        <f>HYPERLINK("https://klasma.github.io/Logging_1883/tillsyn/A 20110-2026 tillsynsbegäran.docx", "A 20110-2026")</f>
        <v/>
      </c>
      <c r="AB27">
        <f>HYPERLINK("https://klasma.github.io/Logging_1883/tillsynsmail/A 20110-2026 tillsynsbegäran mail.docx", "A 20110-2026")</f>
        <v/>
      </c>
    </row>
    <row r="28" ht="15" customHeight="1">
      <c r="A28" t="inlineStr">
        <is>
          <t>A 28566-2024</t>
        </is>
      </c>
      <c r="B28" t="inlineStr">
        <is>
          <t>avverkningsanmälan</t>
        </is>
      </c>
      <c r="C28" t="inlineStr">
        <is>
          <t>Föryngringsavverkning</t>
        </is>
      </c>
      <c r="D28" s="1" t="n">
        <v>45478</v>
      </c>
      <c r="E28" s="1" t="n">
        <v>46220</v>
      </c>
      <c r="F28" t="inlineStr">
        <is>
          <t>ÖREBRO LÄN</t>
        </is>
      </c>
      <c r="G28" t="inlineStr">
        <is>
          <t>KARLSKOGA</t>
        </is>
      </c>
      <c r="I28" t="n">
        <v>1</v>
      </c>
      <c r="J28" t="n">
        <v>1</v>
      </c>
      <c r="K28" t="n">
        <v>0</v>
      </c>
      <c r="L28" t="n">
        <v>0</v>
      </c>
      <c r="M28" t="n">
        <v>0</v>
      </c>
      <c r="N28" t="n">
        <v>0</v>
      </c>
      <c r="O28" t="n">
        <v>0</v>
      </c>
      <c r="P28" t="n">
        <v>0</v>
      </c>
      <c r="Q28" t="n">
        <v>0</v>
      </c>
      <c r="R28" t="n">
        <v>0</v>
      </c>
      <c r="S28" t="n">
        <v>1</v>
      </c>
      <c r="T28" t="n">
        <v>1</v>
      </c>
      <c r="U28" s="2" t="inlineStr">
        <is>
          <t>Ärtsångare</t>
        </is>
      </c>
      <c r="V28">
        <f>HYPERLINK("https://klasma.github.io/Logging_1883/artfynd/A 28566-2024 artfynd.xlsx", "A 28566-2024")</f>
        <v/>
      </c>
      <c r="W28">
        <f>HYPERLINK("https://klasma.github.io/Logging_1883/kartor/A 28566-2024 karta.png", "A 28566-2024")</f>
        <v/>
      </c>
      <c r="Y28">
        <f>HYPERLINK("https://klasma.github.io/Logging_1883/klagomål/A 28566-2024 FSC-klagomål.docx", "A 28566-2024")</f>
        <v/>
      </c>
      <c r="Z28">
        <f>HYPERLINK("https://klasma.github.io/Logging_1883/klagomålsmail/A 28566-2024 FSC-klagomål mail.docx", "A 28566-2024")</f>
        <v/>
      </c>
      <c r="AA28">
        <f>HYPERLINK("https://klasma.github.io/Logging_1883/tillsyn/A 28566-2024 tillsynsbegäran.docx", "A 28566-2024")</f>
        <v/>
      </c>
      <c r="AB28">
        <f>HYPERLINK("https://klasma.github.io/Logging_1883/tillsynsmail/A 28566-2024 tillsynsbegäran mail.docx", "A 28566-2024")</f>
        <v/>
      </c>
    </row>
    <row r="29" ht="15" customHeight="1">
      <c r="A29" t="inlineStr">
        <is>
          <t>A 21019-2026</t>
        </is>
      </c>
      <c r="B29" t="inlineStr">
        <is>
          <t>avverkningsanmälan</t>
        </is>
      </c>
      <c r="C29" t="inlineStr">
        <is>
          <t>Föryngringsavverkning</t>
        </is>
      </c>
      <c r="D29" s="1" t="n">
        <v>46145</v>
      </c>
      <c r="E29" s="1" t="n">
        <v>46220</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s="2" t="inlineStr">
        <is>
          <t>Åkergroda</t>
        </is>
      </c>
      <c r="V29">
        <f>HYPERLINK("https://klasma.github.io/Logging_1883/artfynd/A 21019-2026 artfynd.xlsx", "A 21019-2026")</f>
        <v/>
      </c>
      <c r="W29">
        <f>HYPERLINK("https://klasma.github.io/Logging_1883/kartor/A 21019-2026 karta.png", "A 21019-2026")</f>
        <v/>
      </c>
      <c r="Y29">
        <f>HYPERLINK("https://klasma.github.io/Logging_1883/klagomål/A 21019-2026 FSC-klagomål.docx", "A 21019-2026")</f>
        <v/>
      </c>
      <c r="Z29">
        <f>HYPERLINK("https://klasma.github.io/Logging_1883/klagomålsmail/A 21019-2026 FSC-klagomål mail.docx", "A 21019-2026")</f>
        <v/>
      </c>
      <c r="AA29">
        <f>HYPERLINK("https://klasma.github.io/Logging_1883/tillsyn/A 21019-2026 tillsynsbegäran.docx", "A 21019-2026")</f>
        <v/>
      </c>
      <c r="AB29">
        <f>HYPERLINK("https://klasma.github.io/Logging_1883/tillsynsmail/A 21019-2026 tillsynsbegäran mail.docx", "A 21019-2026")</f>
        <v/>
      </c>
    </row>
    <row r="30" ht="15" customHeight="1">
      <c r="A30" t="inlineStr">
        <is>
          <t>A 40528-2024</t>
        </is>
      </c>
      <c r="B30" t="inlineStr">
        <is>
          <t>avverkningsanmälan</t>
        </is>
      </c>
      <c r="C30" t="inlineStr">
        <is>
          <t>Föryngringsavverkning</t>
        </is>
      </c>
      <c r="D30" s="1" t="n">
        <v>45555</v>
      </c>
      <c r="E30" s="1" t="n">
        <v>46220</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s="2" t="inlineStr">
        <is>
          <t>Mattlummer</t>
        </is>
      </c>
      <c r="V30">
        <f>HYPERLINK("https://klasma.github.io/Logging_1883/artfynd/A 40528-2024 artfynd.xlsx", "A 40528-2024")</f>
        <v/>
      </c>
      <c r="W30">
        <f>HYPERLINK("https://klasma.github.io/Logging_1883/kartor/A 40528-2024 karta.png", "A 40528-2024")</f>
        <v/>
      </c>
      <c r="Y30">
        <f>HYPERLINK("https://klasma.github.io/Logging_1883/klagomål/A 40528-2024 FSC-klagomål.docx", "A 40528-2024")</f>
        <v/>
      </c>
      <c r="Z30">
        <f>HYPERLINK("https://klasma.github.io/Logging_1883/klagomålsmail/A 40528-2024 FSC-klagomål mail.docx", "A 40528-2024")</f>
        <v/>
      </c>
      <c r="AA30">
        <f>HYPERLINK("https://klasma.github.io/Logging_1883/tillsyn/A 40528-2024 tillsynsbegäran.docx", "A 40528-2024")</f>
        <v/>
      </c>
      <c r="AB30">
        <f>HYPERLINK("https://klasma.github.io/Logging_1883/tillsynsmail/A 40528-2024 tillsynsbegäran mail.docx", "A 40528-2024")</f>
        <v/>
      </c>
    </row>
    <row r="31" ht="15" customHeight="1">
      <c r="A31" t="inlineStr">
        <is>
          <t>A 30915-2026</t>
        </is>
      </c>
      <c r="B31" t="inlineStr">
        <is>
          <t>avverkningsanmälan</t>
        </is>
      </c>
      <c r="C31" t="inlineStr">
        <is>
          <t>Föryngringsavverkning</t>
        </is>
      </c>
      <c r="D31" s="1" t="n">
        <v>46213</v>
      </c>
      <c r="E31" s="1" t="n">
        <v>46220</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s="2" t="inlineStr">
        <is>
          <t>Blåsippa</t>
        </is>
      </c>
      <c r="V31">
        <f>HYPERLINK("https://klasma.github.io/Logging_1883/artfynd/A 30915-2026 artfynd.xlsx", "A 30915-2026")</f>
        <v/>
      </c>
      <c r="W31">
        <f>HYPERLINK("https://klasma.github.io/Logging_1883/kartor/A 30915-2026 karta.png", "A 30915-2026")</f>
        <v/>
      </c>
      <c r="Y31">
        <f>HYPERLINK("https://klasma.github.io/Logging_1883/klagomål/A 30915-2026 FSC-klagomål.docx", "A 30915-2026")</f>
        <v/>
      </c>
      <c r="Z31">
        <f>HYPERLINK("https://klasma.github.io/Logging_1883/klagomålsmail/A 30915-2026 FSC-klagomål mail.docx", "A 30915-2026")</f>
        <v/>
      </c>
      <c r="AA31">
        <f>HYPERLINK("https://klasma.github.io/Logging_1883/tillsyn/A 30915-2026 tillsynsbegäran.docx", "A 30915-2026")</f>
        <v/>
      </c>
      <c r="AB31">
        <f>HYPERLINK("https://klasma.github.io/Logging_1883/tillsynsmail/A 30915-2026 tillsynsbegäran mail.docx", "A 30915-2026")</f>
        <v/>
      </c>
    </row>
    <row r="32" ht="15" customHeight="1">
      <c r="A32" t="inlineStr">
        <is>
          <t>A 25093-2026</t>
        </is>
      </c>
      <c r="B32" t="inlineStr">
        <is>
          <t>avverkningsanmälan</t>
        </is>
      </c>
      <c r="C32" t="inlineStr">
        <is>
          <t>Föryngringsavverkning</t>
        </is>
      </c>
      <c r="D32" s="1" t="n">
        <v>46175</v>
      </c>
      <c r="E32" s="1" t="n">
        <v>46220</v>
      </c>
      <c r="F32" t="inlineStr">
        <is>
          <t>ÖREBRO LÄN</t>
        </is>
      </c>
      <c r="G32" t="inlineStr">
        <is>
          <t>KARLSKOGA</t>
        </is>
      </c>
      <c r="H32" t="inlineStr">
        <is>
          <t>Sveaskog</t>
        </is>
      </c>
      <c r="I32" t="n">
        <v>4</v>
      </c>
      <c r="J32" t="n">
        <v>0</v>
      </c>
      <c r="K32" t="n">
        <v>1</v>
      </c>
      <c r="L32" t="n">
        <v>0</v>
      </c>
      <c r="M32" t="n">
        <v>0</v>
      </c>
      <c r="N32" t="n">
        <v>0</v>
      </c>
      <c r="O32" t="n">
        <v>0</v>
      </c>
      <c r="P32" t="n">
        <v>0</v>
      </c>
      <c r="Q32" t="n">
        <v>0</v>
      </c>
      <c r="R32" t="n">
        <v>0</v>
      </c>
      <c r="S32" t="n">
        <v>1</v>
      </c>
      <c r="T32" t="n">
        <v>1</v>
      </c>
      <c r="U32" s="2" t="inlineStr">
        <is>
          <t>Vedticka</t>
        </is>
      </c>
      <c r="V32">
        <f>HYPERLINK("https://klasma.github.io/Logging_1883/artfynd/A 25093-2026 artfynd.xlsx", "A 25093-2026")</f>
        <v/>
      </c>
      <c r="W32">
        <f>HYPERLINK("https://klasma.github.io/Logging_1883/kartor/A 25093-2026 karta.png", "A 25093-2026")</f>
        <v/>
      </c>
      <c r="Y32">
        <f>HYPERLINK("https://klasma.github.io/Logging_1883/klagomål/A 25093-2026 FSC-klagomål.docx", "A 25093-2026")</f>
        <v/>
      </c>
      <c r="Z32">
        <f>HYPERLINK("https://klasma.github.io/Logging_1883/klagomålsmail/A 25093-2026 FSC-klagomål mail.docx", "A 25093-2026")</f>
        <v/>
      </c>
      <c r="AA32">
        <f>HYPERLINK("https://klasma.github.io/Logging_1883/tillsyn/A 25093-2026 tillsynsbegäran.docx", "A 25093-2026")</f>
        <v/>
      </c>
      <c r="AB32">
        <f>HYPERLINK("https://klasma.github.io/Logging_1883/tillsynsmail/A 25093-2026 tillsynsbegäran mail.docx", "A 25093-2026")</f>
        <v/>
      </c>
    </row>
    <row r="33" ht="15" customHeight="1">
      <c r="A33" t="inlineStr">
        <is>
          <t>S 6543-2021</t>
        </is>
      </c>
      <c r="B33" t="inlineStr">
        <is>
          <t>samrådsanmälan</t>
        </is>
      </c>
      <c r="C33" t="inlineStr">
        <is>
          <t>Annan skogsbruksåtgärd</t>
        </is>
      </c>
      <c r="D33" s="1" t="n">
        <v>44453</v>
      </c>
      <c r="E33" s="1" t="n">
        <v>46220</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Y33">
        <f>HYPERLINK("https://klasma.github.io/Logging_1883/klagomål/S 6543-2021 FSC-klagomål.docx", "S 6543-2021")</f>
        <v/>
      </c>
      <c r="Z33">
        <f>HYPERLINK("https://klasma.github.io/Logging_1883/klagomålsmail/S 6543-2021 FSC-klagomål mail.docx", "S 6543-2021")</f>
        <v/>
      </c>
      <c r="AA33">
        <f>HYPERLINK("https://klasma.github.io/Logging_1883/tillsyn/S 6543-2021 tillsynsbegäran.docx", "S 6543-2021")</f>
        <v/>
      </c>
      <c r="AB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46220</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46220</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46220</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46220</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46220</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22861-2022</t>
        </is>
      </c>
      <c r="B39" t="inlineStr">
        <is>
          <t>avverkningsanmälan</t>
        </is>
      </c>
      <c r="C39" t="inlineStr">
        <is>
          <t>Föryngringsavverkning</t>
        </is>
      </c>
      <c r="D39" s="1" t="n">
        <v>44715</v>
      </c>
      <c r="E39" s="1" t="n">
        <v>46220</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s="2" t="inlineStr"/>
    </row>
    <row r="40" ht="15" customHeight="1">
      <c r="A40" t="inlineStr">
        <is>
          <t>A 64869-2021</t>
        </is>
      </c>
      <c r="B40" t="inlineStr">
        <is>
          <t>avverkningsanmälan</t>
        </is>
      </c>
      <c r="C40" t="inlineStr">
        <is>
          <t>Föryngringsavverkning</t>
        </is>
      </c>
      <c r="D40" s="1" t="n">
        <v>44512</v>
      </c>
      <c r="E40" s="1" t="n">
        <v>46220</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s="2" t="inlineStr"/>
    </row>
    <row r="41" ht="15" customHeight="1">
      <c r="A41" t="inlineStr">
        <is>
          <t>A 63671-2021</t>
        </is>
      </c>
      <c r="B41" t="inlineStr">
        <is>
          <t>avverkningsanmälan</t>
        </is>
      </c>
      <c r="C41" t="inlineStr">
        <is>
          <t>Föryngringsavverkning</t>
        </is>
      </c>
      <c r="D41" s="1" t="n">
        <v>44508</v>
      </c>
      <c r="E41" s="1" t="n">
        <v>46220</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s="2" t="inlineStr"/>
    </row>
    <row r="42" ht="15" customHeight="1">
      <c r="A42" t="inlineStr">
        <is>
          <t>A 56435-2021</t>
        </is>
      </c>
      <c r="B42" t="inlineStr">
        <is>
          <t>avverkningsanmälan</t>
        </is>
      </c>
      <c r="C42" t="inlineStr">
        <is>
          <t>Föryngringsavverkning</t>
        </is>
      </c>
      <c r="D42" s="1" t="n">
        <v>44480</v>
      </c>
      <c r="E42" s="1" t="n">
        <v>46220</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s="2" t="inlineStr"/>
    </row>
    <row r="43" ht="15" customHeight="1">
      <c r="A43" t="inlineStr">
        <is>
          <t>A 37582-2022</t>
        </is>
      </c>
      <c r="B43" t="inlineStr">
        <is>
          <t>avverkningsanmälan</t>
        </is>
      </c>
      <c r="C43" t="inlineStr">
        <is>
          <t>Föryngringsavverkning</t>
        </is>
      </c>
      <c r="D43" s="1" t="n">
        <v>44809</v>
      </c>
      <c r="E43" s="1" t="n">
        <v>46220</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s="2" t="inlineStr"/>
    </row>
    <row r="44" ht="15" customHeight="1">
      <c r="A44" t="inlineStr">
        <is>
          <t>A 38012-2022</t>
        </is>
      </c>
      <c r="B44" t="inlineStr">
        <is>
          <t>avverkningsanmälan</t>
        </is>
      </c>
      <c r="C44" t="inlineStr">
        <is>
          <t>Föryngringsavverkning</t>
        </is>
      </c>
      <c r="D44" s="1" t="n">
        <v>44811</v>
      </c>
      <c r="E44" s="1" t="n">
        <v>46220</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s="2" t="inlineStr"/>
    </row>
    <row r="45" ht="15" customHeight="1">
      <c r="A45" t="inlineStr">
        <is>
          <t>A 11081-2022</t>
        </is>
      </c>
      <c r="B45" t="inlineStr">
        <is>
          <t>avverkningsanmälan</t>
        </is>
      </c>
      <c r="C45" t="inlineStr">
        <is>
          <t>Avverkning för annat ändamål</t>
        </is>
      </c>
      <c r="D45" s="1" t="n">
        <v>44628</v>
      </c>
      <c r="E45" s="1" t="n">
        <v>46220</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37584-2022</t>
        </is>
      </c>
      <c r="B46" t="inlineStr">
        <is>
          <t>avverkningsanmälan</t>
        </is>
      </c>
      <c r="C46" t="inlineStr">
        <is>
          <t>Föryngringsavverkning</t>
        </is>
      </c>
      <c r="D46" s="1" t="n">
        <v>44809</v>
      </c>
      <c r="E46" s="1" t="n">
        <v>46220</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s="2" t="inlineStr"/>
    </row>
    <row r="47" ht="15" customHeight="1">
      <c r="A47" t="inlineStr">
        <is>
          <t>A 21612-2022</t>
        </is>
      </c>
      <c r="B47" t="inlineStr">
        <is>
          <t>avverkningsanmälan</t>
        </is>
      </c>
      <c r="C47" t="inlineStr">
        <is>
          <t>Föryngringsavverkning</t>
        </is>
      </c>
      <c r="D47" s="1" t="n">
        <v>44706</v>
      </c>
      <c r="E47" s="1" t="n">
        <v>46220</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s="2" t="inlineStr"/>
    </row>
    <row r="48" ht="15" customHeight="1">
      <c r="A48" t="inlineStr">
        <is>
          <t>A 21622-2022</t>
        </is>
      </c>
      <c r="B48" t="inlineStr">
        <is>
          <t>avverkningsanmälan</t>
        </is>
      </c>
      <c r="C48" t="inlineStr">
        <is>
          <t>Föryngringsavverkning</t>
        </is>
      </c>
      <c r="D48" s="1" t="n">
        <v>44706</v>
      </c>
      <c r="E48" s="1" t="n">
        <v>46220</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s="2" t="inlineStr"/>
    </row>
    <row r="49" ht="15" customHeight="1">
      <c r="A49" t="inlineStr">
        <is>
          <t>A 45117-2021</t>
        </is>
      </c>
      <c r="B49" t="inlineStr">
        <is>
          <t>avverkningsanmälan</t>
        </is>
      </c>
      <c r="C49" t="inlineStr">
        <is>
          <t>Föryngringsavverkning</t>
        </is>
      </c>
      <c r="D49" s="1" t="n">
        <v>44439</v>
      </c>
      <c r="E49" s="1" t="n">
        <v>46220</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s="2" t="inlineStr"/>
    </row>
    <row r="50" ht="15" customHeight="1">
      <c r="A50" t="inlineStr">
        <is>
          <t>A 39027-2022</t>
        </is>
      </c>
      <c r="B50" t="inlineStr">
        <is>
          <t>avverkningsanmälan</t>
        </is>
      </c>
      <c r="C50" t="inlineStr">
        <is>
          <t>Föryngringsavverkning</t>
        </is>
      </c>
      <c r="D50" s="1" t="n">
        <v>44817</v>
      </c>
      <c r="E50" s="1" t="n">
        <v>46220</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s="2" t="inlineStr"/>
    </row>
    <row r="51" ht="15" customHeight="1">
      <c r="A51" t="inlineStr">
        <is>
          <t>A 58390-2024</t>
        </is>
      </c>
      <c r="B51" t="inlineStr">
        <is>
          <t>avverkningsanmälan</t>
        </is>
      </c>
      <c r="C51" t="inlineStr">
        <is>
          <t>Föryngringsavverkning</t>
        </is>
      </c>
      <c r="D51" s="1" t="n">
        <v>45633</v>
      </c>
      <c r="E51" s="1" t="n">
        <v>46220</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s="2" t="inlineStr"/>
    </row>
    <row r="52" ht="15" customHeight="1">
      <c r="A52" t="inlineStr">
        <is>
          <t>A 35471-2024</t>
        </is>
      </c>
      <c r="B52" t="inlineStr">
        <is>
          <t>avverkningsanmälan</t>
        </is>
      </c>
      <c r="C52" t="inlineStr">
        <is>
          <t>Föryngringsavverkning</t>
        </is>
      </c>
      <c r="D52" s="1" t="n">
        <v>45531</v>
      </c>
      <c r="E52" s="1" t="n">
        <v>46220</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s="2" t="inlineStr"/>
    </row>
    <row r="53" ht="15" customHeight="1">
      <c r="A53" t="inlineStr">
        <is>
          <t>A 9712-2024</t>
        </is>
      </c>
      <c r="B53" t="inlineStr">
        <is>
          <t>avverkningsanmälan</t>
        </is>
      </c>
      <c r="C53" t="inlineStr">
        <is>
          <t>Föryngringsavverkning</t>
        </is>
      </c>
      <c r="D53" s="1" t="n">
        <v>45362</v>
      </c>
      <c r="E53" s="1" t="n">
        <v>46220</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s="2" t="inlineStr"/>
    </row>
    <row r="54" ht="15" customHeight="1">
      <c r="A54" t="inlineStr">
        <is>
          <t>A 42804-2023</t>
        </is>
      </c>
      <c r="B54" t="inlineStr">
        <is>
          <t>avverkningsanmälan</t>
        </is>
      </c>
      <c r="C54" t="inlineStr">
        <is>
          <t>Avverkning för att bevara och utveckla /försöksver</t>
        </is>
      </c>
      <c r="D54" s="1" t="n">
        <v>45182</v>
      </c>
      <c r="E54" s="1" t="n">
        <v>46220</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s="2" t="inlineStr"/>
    </row>
    <row r="55" ht="15" customHeight="1">
      <c r="A55" t="inlineStr">
        <is>
          <t>A 9510-2023</t>
        </is>
      </c>
      <c r="B55" t="inlineStr">
        <is>
          <t>avverkningsanmälan</t>
        </is>
      </c>
      <c r="C55" t="inlineStr">
        <is>
          <t>Föryngringsavverkning</t>
        </is>
      </c>
      <c r="D55" s="1" t="n">
        <v>44981</v>
      </c>
      <c r="E55" s="1" t="n">
        <v>46220</v>
      </c>
      <c r="F55" t="inlineStr">
        <is>
          <t>ÖREBRO LÄN</t>
        </is>
      </c>
      <c r="G55" t="inlineStr">
        <is>
          <t>KARLSKOGA</t>
        </is>
      </c>
      <c r="I55" t="n">
        <v>1.9</v>
      </c>
      <c r="J55" t="n">
        <v>0</v>
      </c>
      <c r="K55" t="n">
        <v>0</v>
      </c>
      <c r="L55" t="n">
        <v>0</v>
      </c>
      <c r="M55" t="n">
        <v>0</v>
      </c>
      <c r="N55" t="n">
        <v>0</v>
      </c>
      <c r="O55" t="n">
        <v>0</v>
      </c>
      <c r="P55" t="n">
        <v>0</v>
      </c>
      <c r="Q55" t="n">
        <v>0</v>
      </c>
      <c r="R55" t="n">
        <v>0</v>
      </c>
      <c r="S55" t="n">
        <v>0</v>
      </c>
      <c r="T55" t="n">
        <v>0</v>
      </c>
      <c r="U55" s="2" t="inlineStr"/>
    </row>
    <row r="56" ht="15" customHeight="1">
      <c r="A56" t="inlineStr">
        <is>
          <t>A 1309-2024</t>
        </is>
      </c>
      <c r="B56" t="inlineStr">
        <is>
          <t>avverkningsanmälan</t>
        </is>
      </c>
      <c r="C56" t="inlineStr">
        <is>
          <t>Föryngringsavverkning</t>
        </is>
      </c>
      <c r="D56" s="1" t="n">
        <v>45303</v>
      </c>
      <c r="E56" s="1" t="n">
        <v>46220</v>
      </c>
      <c r="F56" t="inlineStr">
        <is>
          <t>ÖREBRO LÄN</t>
        </is>
      </c>
      <c r="G56" t="inlineStr">
        <is>
          <t>KARLSKOGA</t>
        </is>
      </c>
      <c r="I56" t="n">
        <v>4</v>
      </c>
      <c r="J56" t="n">
        <v>0</v>
      </c>
      <c r="K56" t="n">
        <v>0</v>
      </c>
      <c r="L56" t="n">
        <v>0</v>
      </c>
      <c r="M56" t="n">
        <v>0</v>
      </c>
      <c r="N56" t="n">
        <v>0</v>
      </c>
      <c r="O56" t="n">
        <v>0</v>
      </c>
      <c r="P56" t="n">
        <v>0</v>
      </c>
      <c r="Q56" t="n">
        <v>0</v>
      </c>
      <c r="R56" t="n">
        <v>0</v>
      </c>
      <c r="S56" t="n">
        <v>0</v>
      </c>
      <c r="T56" t="n">
        <v>0</v>
      </c>
      <c r="U56" s="2" t="inlineStr"/>
    </row>
    <row r="57" ht="15" customHeight="1">
      <c r="A57" t="inlineStr">
        <is>
          <t>A 4164-2022</t>
        </is>
      </c>
      <c r="B57" t="inlineStr">
        <is>
          <t>avverkningsanmälan</t>
        </is>
      </c>
      <c r="C57" t="inlineStr">
        <is>
          <t>Föryngringsavverkning</t>
        </is>
      </c>
      <c r="D57" s="1" t="n">
        <v>44588</v>
      </c>
      <c r="E57" s="1" t="n">
        <v>46220</v>
      </c>
      <c r="F57" t="inlineStr">
        <is>
          <t>ÖREBRO LÄN</t>
        </is>
      </c>
      <c r="G57" t="inlineStr">
        <is>
          <t>KARLSKOGA</t>
        </is>
      </c>
      <c r="H57" t="inlineStr">
        <is>
          <t>Kommuner</t>
        </is>
      </c>
      <c r="I57" t="n">
        <v>1.5</v>
      </c>
      <c r="J57" t="n">
        <v>0</v>
      </c>
      <c r="K57" t="n">
        <v>0</v>
      </c>
      <c r="L57" t="n">
        <v>0</v>
      </c>
      <c r="M57" t="n">
        <v>0</v>
      </c>
      <c r="N57" t="n">
        <v>0</v>
      </c>
      <c r="O57" t="n">
        <v>0</v>
      </c>
      <c r="P57" t="n">
        <v>0</v>
      </c>
      <c r="Q57" t="n">
        <v>0</v>
      </c>
      <c r="R57" t="n">
        <v>0</v>
      </c>
      <c r="S57" t="n">
        <v>0</v>
      </c>
      <c r="T57" t="n">
        <v>0</v>
      </c>
      <c r="U57" s="2" t="inlineStr"/>
    </row>
    <row r="58" ht="15" customHeight="1">
      <c r="A58" t="inlineStr">
        <is>
          <t>A 35444-2024</t>
        </is>
      </c>
      <c r="B58" t="inlineStr">
        <is>
          <t>avverkningsanmälan</t>
        </is>
      </c>
      <c r="C58" t="inlineStr">
        <is>
          <t>Föryngringsavverkning</t>
        </is>
      </c>
      <c r="D58" s="1" t="n">
        <v>45531</v>
      </c>
      <c r="E58" s="1" t="n">
        <v>46220</v>
      </c>
      <c r="F58" t="inlineStr">
        <is>
          <t>ÖREBRO LÄN</t>
        </is>
      </c>
      <c r="G58" t="inlineStr">
        <is>
          <t>KARLSKOGA</t>
        </is>
      </c>
      <c r="I58" t="n">
        <v>0.5</v>
      </c>
      <c r="J58" t="n">
        <v>0</v>
      </c>
      <c r="K58" t="n">
        <v>0</v>
      </c>
      <c r="L58" t="n">
        <v>0</v>
      </c>
      <c r="M58" t="n">
        <v>0</v>
      </c>
      <c r="N58" t="n">
        <v>0</v>
      </c>
      <c r="O58" t="n">
        <v>0</v>
      </c>
      <c r="P58" t="n">
        <v>0</v>
      </c>
      <c r="Q58" t="n">
        <v>0</v>
      </c>
      <c r="R58" t="n">
        <v>0</v>
      </c>
      <c r="S58" t="n">
        <v>0</v>
      </c>
      <c r="T58" t="n">
        <v>0</v>
      </c>
      <c r="U58" s="2" t="inlineStr"/>
    </row>
    <row r="59" ht="15" customHeight="1">
      <c r="A59" t="inlineStr">
        <is>
          <t>A 23263-2022</t>
        </is>
      </c>
      <c r="B59" t="inlineStr">
        <is>
          <t>avverkningsanmälan</t>
        </is>
      </c>
      <c r="C59" t="inlineStr">
        <is>
          <t>Föryngringsavverkning</t>
        </is>
      </c>
      <c r="D59" s="1" t="n">
        <v>44720</v>
      </c>
      <c r="E59" s="1" t="n">
        <v>46220</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s="2" t="inlineStr"/>
    </row>
    <row r="60" ht="15" customHeight="1">
      <c r="A60" t="inlineStr">
        <is>
          <t>A 47201-2023</t>
        </is>
      </c>
      <c r="B60" t="inlineStr">
        <is>
          <t>avverkningsanmälan</t>
        </is>
      </c>
      <c r="C60" t="inlineStr">
        <is>
          <t>Föryngringsavverkning</t>
        </is>
      </c>
      <c r="D60" s="1" t="n">
        <v>45196</v>
      </c>
      <c r="E60" s="1" t="n">
        <v>46220</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s="2" t="inlineStr"/>
    </row>
    <row r="61" ht="15" customHeight="1">
      <c r="A61" t="inlineStr">
        <is>
          <t>A 1788-2026</t>
        </is>
      </c>
      <c r="B61" t="inlineStr">
        <is>
          <t>avverkningsanmälan</t>
        </is>
      </c>
      <c r="C61" t="inlineStr">
        <is>
          <t>Föryngringsavverkning</t>
        </is>
      </c>
      <c r="D61" s="1" t="n">
        <v>46034</v>
      </c>
      <c r="E61" s="1" t="n">
        <v>46220</v>
      </c>
      <c r="F61" t="inlineStr">
        <is>
          <t>ÖREBRO LÄN</t>
        </is>
      </c>
      <c r="G61" t="inlineStr">
        <is>
          <t>KARLSKOGA</t>
        </is>
      </c>
      <c r="I61" t="n">
        <v>3.5</v>
      </c>
      <c r="J61" t="n">
        <v>0</v>
      </c>
      <c r="K61" t="n">
        <v>0</v>
      </c>
      <c r="L61" t="n">
        <v>0</v>
      </c>
      <c r="M61" t="n">
        <v>0</v>
      </c>
      <c r="N61" t="n">
        <v>0</v>
      </c>
      <c r="O61" t="n">
        <v>0</v>
      </c>
      <c r="P61" t="n">
        <v>0</v>
      </c>
      <c r="Q61" t="n">
        <v>0</v>
      </c>
      <c r="R61" t="n">
        <v>0</v>
      </c>
      <c r="S61" t="n">
        <v>0</v>
      </c>
      <c r="T61" t="n">
        <v>0</v>
      </c>
      <c r="U61" s="2" t="inlineStr"/>
    </row>
    <row r="62" ht="15" customHeight="1">
      <c r="A62" t="inlineStr">
        <is>
          <t>A 61396-2023</t>
        </is>
      </c>
      <c r="B62" t="inlineStr">
        <is>
          <t>avverkningsanmälan</t>
        </is>
      </c>
      <c r="C62" t="inlineStr">
        <is>
          <t>Föryngringsavverkning</t>
        </is>
      </c>
      <c r="D62" s="1" t="n">
        <v>45264</v>
      </c>
      <c r="E62" s="1" t="n">
        <v>46220</v>
      </c>
      <c r="F62" t="inlineStr">
        <is>
          <t>ÖREBRO LÄN</t>
        </is>
      </c>
      <c r="G62" t="inlineStr">
        <is>
          <t>KARLSKOGA</t>
        </is>
      </c>
      <c r="I62" t="n">
        <v>1.8</v>
      </c>
      <c r="J62" t="n">
        <v>0</v>
      </c>
      <c r="K62" t="n">
        <v>0</v>
      </c>
      <c r="L62" t="n">
        <v>0</v>
      </c>
      <c r="M62" t="n">
        <v>0</v>
      </c>
      <c r="N62" t="n">
        <v>0</v>
      </c>
      <c r="O62" t="n">
        <v>0</v>
      </c>
      <c r="P62" t="n">
        <v>0</v>
      </c>
      <c r="Q62" t="n">
        <v>0</v>
      </c>
      <c r="R62" t="n">
        <v>0</v>
      </c>
      <c r="S62" t="n">
        <v>0</v>
      </c>
      <c r="T62" t="n">
        <v>0</v>
      </c>
      <c r="U62" s="2" t="inlineStr"/>
    </row>
    <row r="63" ht="15" customHeight="1">
      <c r="A63" t="inlineStr">
        <is>
          <t>A 8259-2025</t>
        </is>
      </c>
      <c r="B63" t="inlineStr">
        <is>
          <t>avverkningsanmälan</t>
        </is>
      </c>
      <c r="C63" t="inlineStr">
        <is>
          <t>Föryngringsavverkning</t>
        </is>
      </c>
      <c r="D63" s="1" t="n">
        <v>45708</v>
      </c>
      <c r="E63" s="1" t="n">
        <v>46220</v>
      </c>
      <c r="F63" t="inlineStr">
        <is>
          <t>ÖREBRO LÄN</t>
        </is>
      </c>
      <c r="G63" t="inlineStr">
        <is>
          <t>KARLSKOGA</t>
        </is>
      </c>
      <c r="I63" t="n">
        <v>0.7</v>
      </c>
      <c r="J63" t="n">
        <v>0</v>
      </c>
      <c r="K63" t="n">
        <v>0</v>
      </c>
      <c r="L63" t="n">
        <v>0</v>
      </c>
      <c r="M63" t="n">
        <v>0</v>
      </c>
      <c r="N63" t="n">
        <v>0</v>
      </c>
      <c r="O63" t="n">
        <v>0</v>
      </c>
      <c r="P63" t="n">
        <v>0</v>
      </c>
      <c r="Q63" t="n">
        <v>0</v>
      </c>
      <c r="R63" t="n">
        <v>0</v>
      </c>
      <c r="S63" t="n">
        <v>0</v>
      </c>
      <c r="T63" t="n">
        <v>0</v>
      </c>
      <c r="U63" s="2" t="inlineStr"/>
    </row>
    <row r="64" ht="15" customHeight="1">
      <c r="A64" t="inlineStr">
        <is>
          <t>A 24116-2024</t>
        </is>
      </c>
      <c r="B64" t="inlineStr">
        <is>
          <t>avverkningsanmälan</t>
        </is>
      </c>
      <c r="C64" t="inlineStr">
        <is>
          <t>Föryngringsavverkning</t>
        </is>
      </c>
      <c r="D64" s="1" t="n">
        <v>45456</v>
      </c>
      <c r="E64" s="1" t="n">
        <v>46220</v>
      </c>
      <c r="F64" t="inlineStr">
        <is>
          <t>ÖREBRO LÄN</t>
        </is>
      </c>
      <c r="G64" t="inlineStr">
        <is>
          <t>KARLSKOGA</t>
        </is>
      </c>
      <c r="I64" t="n">
        <v>1.8</v>
      </c>
      <c r="J64" t="n">
        <v>0</v>
      </c>
      <c r="K64" t="n">
        <v>0</v>
      </c>
      <c r="L64" t="n">
        <v>0</v>
      </c>
      <c r="M64" t="n">
        <v>0</v>
      </c>
      <c r="N64" t="n">
        <v>0</v>
      </c>
      <c r="O64" t="n">
        <v>0</v>
      </c>
      <c r="P64" t="n">
        <v>0</v>
      </c>
      <c r="Q64" t="n">
        <v>0</v>
      </c>
      <c r="R64" t="n">
        <v>0</v>
      </c>
      <c r="S64" t="n">
        <v>0</v>
      </c>
      <c r="T64" t="n">
        <v>0</v>
      </c>
      <c r="U64" s="2" t="inlineStr"/>
    </row>
    <row r="65" ht="15" customHeight="1">
      <c r="A65" t="inlineStr">
        <is>
          <t>A 17815-2025</t>
        </is>
      </c>
      <c r="B65" t="inlineStr">
        <is>
          <t>avverkningsanmälan</t>
        </is>
      </c>
      <c r="C65" t="inlineStr">
        <is>
          <t>Föryngringsavverkning</t>
        </is>
      </c>
      <c r="D65" s="1" t="n">
        <v>45758</v>
      </c>
      <c r="E65" s="1" t="n">
        <v>46220</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s="2" t="inlineStr"/>
    </row>
    <row r="66" ht="15" customHeight="1">
      <c r="A66" t="inlineStr">
        <is>
          <t>A 27498-2025</t>
        </is>
      </c>
      <c r="B66" t="inlineStr">
        <is>
          <t>avverkningsanmälan</t>
        </is>
      </c>
      <c r="C66" t="inlineStr">
        <is>
          <t>Föryngringsavverkning</t>
        </is>
      </c>
      <c r="D66" s="1" t="n">
        <v>45813</v>
      </c>
      <c r="E66" s="1" t="n">
        <v>46220</v>
      </c>
      <c r="F66" t="inlineStr">
        <is>
          <t>ÖREBRO LÄN</t>
        </is>
      </c>
      <c r="G66" t="inlineStr">
        <is>
          <t>KARLSKOGA</t>
        </is>
      </c>
      <c r="I66" t="n">
        <v>1.2</v>
      </c>
      <c r="J66" t="n">
        <v>0</v>
      </c>
      <c r="K66" t="n">
        <v>0</v>
      </c>
      <c r="L66" t="n">
        <v>0</v>
      </c>
      <c r="M66" t="n">
        <v>0</v>
      </c>
      <c r="N66" t="n">
        <v>0</v>
      </c>
      <c r="O66" t="n">
        <v>0</v>
      </c>
      <c r="P66" t="n">
        <v>0</v>
      </c>
      <c r="Q66" t="n">
        <v>0</v>
      </c>
      <c r="R66" t="n">
        <v>0</v>
      </c>
      <c r="S66" t="n">
        <v>0</v>
      </c>
      <c r="T66" t="n">
        <v>0</v>
      </c>
      <c r="U66" s="2" t="inlineStr"/>
    </row>
    <row r="67" ht="15" customHeight="1">
      <c r="A67" t="inlineStr">
        <is>
          <t>A 35930-2023</t>
        </is>
      </c>
      <c r="B67" t="inlineStr">
        <is>
          <t>avverkningsanmälan</t>
        </is>
      </c>
      <c r="C67" t="inlineStr">
        <is>
          <t>Föryngringsavverkning</t>
        </is>
      </c>
      <c r="D67" s="1" t="n">
        <v>45148</v>
      </c>
      <c r="E67" s="1" t="n">
        <v>46220</v>
      </c>
      <c r="F67" t="inlineStr">
        <is>
          <t>ÖREBRO LÄN</t>
        </is>
      </c>
      <c r="G67" t="inlineStr">
        <is>
          <t>KARLSKOGA</t>
        </is>
      </c>
      <c r="H67" t="inlineStr">
        <is>
          <t>Sveaskog</t>
        </is>
      </c>
      <c r="I67" t="n">
        <v>5.2</v>
      </c>
      <c r="J67" t="n">
        <v>0</v>
      </c>
      <c r="K67" t="n">
        <v>0</v>
      </c>
      <c r="L67" t="n">
        <v>0</v>
      </c>
      <c r="M67" t="n">
        <v>0</v>
      </c>
      <c r="N67" t="n">
        <v>0</v>
      </c>
      <c r="O67" t="n">
        <v>0</v>
      </c>
      <c r="P67" t="n">
        <v>0</v>
      </c>
      <c r="Q67" t="n">
        <v>0</v>
      </c>
      <c r="R67" t="n">
        <v>0</v>
      </c>
      <c r="S67" t="n">
        <v>0</v>
      </c>
      <c r="T67" t="n">
        <v>0</v>
      </c>
      <c r="U67" s="2" t="inlineStr"/>
    </row>
    <row r="68" ht="15" customHeight="1">
      <c r="A68" t="inlineStr">
        <is>
          <t>A 63863-2023</t>
        </is>
      </c>
      <c r="B68" t="inlineStr">
        <is>
          <t>avverkningsanmälan</t>
        </is>
      </c>
      <c r="C68" t="inlineStr">
        <is>
          <t>Föryngringsavverkning</t>
        </is>
      </c>
      <c r="D68" s="1" t="n">
        <v>45278</v>
      </c>
      <c r="E68" s="1" t="n">
        <v>46220</v>
      </c>
      <c r="F68" t="inlineStr">
        <is>
          <t>ÖREBRO LÄN</t>
        </is>
      </c>
      <c r="G68" t="inlineStr">
        <is>
          <t>KARLSKOGA</t>
        </is>
      </c>
      <c r="I68" t="n">
        <v>1.1</v>
      </c>
      <c r="J68" t="n">
        <v>0</v>
      </c>
      <c r="K68" t="n">
        <v>0</v>
      </c>
      <c r="L68" t="n">
        <v>0</v>
      </c>
      <c r="M68" t="n">
        <v>0</v>
      </c>
      <c r="N68" t="n">
        <v>0</v>
      </c>
      <c r="O68" t="n">
        <v>0</v>
      </c>
      <c r="P68" t="n">
        <v>0</v>
      </c>
      <c r="Q68" t="n">
        <v>0</v>
      </c>
      <c r="R68" t="n">
        <v>0</v>
      </c>
      <c r="S68" t="n">
        <v>0</v>
      </c>
      <c r="T68" t="n">
        <v>0</v>
      </c>
      <c r="U68" s="2" t="inlineStr"/>
    </row>
    <row r="69" ht="15" customHeight="1">
      <c r="A69" t="inlineStr">
        <is>
          <t>A 23620-2024</t>
        </is>
      </c>
      <c r="B69" t="inlineStr">
        <is>
          <t>avverkningsanmälan</t>
        </is>
      </c>
      <c r="C69" t="inlineStr">
        <is>
          <t>Föryngringsavverkning</t>
        </is>
      </c>
      <c r="D69" s="1" t="n">
        <v>45454</v>
      </c>
      <c r="E69" s="1" t="n">
        <v>46220</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s="2" t="inlineStr"/>
    </row>
    <row r="70" ht="15" customHeight="1">
      <c r="A70" t="inlineStr">
        <is>
          <t>A 53647-2023</t>
        </is>
      </c>
      <c r="B70" t="inlineStr">
        <is>
          <t>avverkningsanmälan</t>
        </is>
      </c>
      <c r="C70" t="inlineStr">
        <is>
          <t>Föryngringsavverkning</t>
        </is>
      </c>
      <c r="D70" s="1" t="n">
        <v>45230</v>
      </c>
      <c r="E70" s="1" t="n">
        <v>46220</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s="2" t="inlineStr"/>
    </row>
    <row r="71" ht="15" customHeight="1">
      <c r="A71" t="inlineStr">
        <is>
          <t>A 30102-2025</t>
        </is>
      </c>
      <c r="B71" t="inlineStr">
        <is>
          <t>avverkningsanmälan</t>
        </is>
      </c>
      <c r="C71" t="inlineStr">
        <is>
          <t>Föryngringsavverkning</t>
        </is>
      </c>
      <c r="D71" s="1" t="n">
        <v>45826</v>
      </c>
      <c r="E71" s="1" t="n">
        <v>46220</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s="2" t="inlineStr"/>
    </row>
    <row r="72" ht="15" customHeight="1">
      <c r="A72" t="inlineStr">
        <is>
          <t>A 54680-2021</t>
        </is>
      </c>
      <c r="B72" t="inlineStr">
        <is>
          <t>avverkningsanmälan</t>
        </is>
      </c>
      <c r="C72" t="inlineStr">
        <is>
          <t>Föryngringsavverkning</t>
        </is>
      </c>
      <c r="D72" s="1" t="n">
        <v>44473</v>
      </c>
      <c r="E72" s="1" t="n">
        <v>46220</v>
      </c>
      <c r="F72" t="inlineStr">
        <is>
          <t>ÖREBRO LÄN</t>
        </is>
      </c>
      <c r="G72" t="inlineStr">
        <is>
          <t>KARLSKOGA</t>
        </is>
      </c>
      <c r="I72" t="n">
        <v>2.9</v>
      </c>
      <c r="J72" t="n">
        <v>0</v>
      </c>
      <c r="K72" t="n">
        <v>0</v>
      </c>
      <c r="L72" t="n">
        <v>0</v>
      </c>
      <c r="M72" t="n">
        <v>0</v>
      </c>
      <c r="N72" t="n">
        <v>0</v>
      </c>
      <c r="O72" t="n">
        <v>0</v>
      </c>
      <c r="P72" t="n">
        <v>0</v>
      </c>
      <c r="Q72" t="n">
        <v>0</v>
      </c>
      <c r="R72" t="n">
        <v>0</v>
      </c>
      <c r="S72" t="n">
        <v>0</v>
      </c>
      <c r="T72" t="n">
        <v>0</v>
      </c>
      <c r="U72" s="2" t="inlineStr"/>
    </row>
    <row r="73" ht="15" customHeight="1">
      <c r="A73" t="inlineStr">
        <is>
          <t>A 31397-2025</t>
        </is>
      </c>
      <c r="B73" t="inlineStr">
        <is>
          <t>avverkningsanmälan</t>
        </is>
      </c>
      <c r="C73" t="inlineStr">
        <is>
          <t>Föryngringsavverkning</t>
        </is>
      </c>
      <c r="D73" s="1" t="n">
        <v>45833</v>
      </c>
      <c r="E73" s="1" t="n">
        <v>46220</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s="2" t="inlineStr"/>
    </row>
    <row r="74" ht="15" customHeight="1">
      <c r="A74" t="inlineStr">
        <is>
          <t>A 32287-2025</t>
        </is>
      </c>
      <c r="B74" t="inlineStr">
        <is>
          <t>avverkningsanmälan</t>
        </is>
      </c>
      <c r="C74" t="inlineStr">
        <is>
          <t>Föryngringsavverkning</t>
        </is>
      </c>
      <c r="D74" s="1" t="n">
        <v>45835</v>
      </c>
      <c r="E74" s="1" t="n">
        <v>46220</v>
      </c>
      <c r="F74" t="inlineStr">
        <is>
          <t>ÖREBRO LÄN</t>
        </is>
      </c>
      <c r="G74" t="inlineStr">
        <is>
          <t>KARLSKOGA</t>
        </is>
      </c>
      <c r="H74" t="inlineStr">
        <is>
          <t>Kyrkan</t>
        </is>
      </c>
      <c r="I74" t="n">
        <v>10.9</v>
      </c>
      <c r="J74" t="n">
        <v>0</v>
      </c>
      <c r="K74" t="n">
        <v>0</v>
      </c>
      <c r="L74" t="n">
        <v>0</v>
      </c>
      <c r="M74" t="n">
        <v>0</v>
      </c>
      <c r="N74" t="n">
        <v>0</v>
      </c>
      <c r="O74" t="n">
        <v>0</v>
      </c>
      <c r="P74" t="n">
        <v>0</v>
      </c>
      <c r="Q74" t="n">
        <v>0</v>
      </c>
      <c r="R74" t="n">
        <v>0</v>
      </c>
      <c r="S74" t="n">
        <v>0</v>
      </c>
      <c r="T74" t="n">
        <v>0</v>
      </c>
      <c r="U74" s="2" t="inlineStr"/>
    </row>
    <row r="75" ht="15" customHeight="1">
      <c r="A75" t="inlineStr">
        <is>
          <t>A 44946-2025</t>
        </is>
      </c>
      <c r="B75" t="inlineStr">
        <is>
          <t>avverkningsanmälan</t>
        </is>
      </c>
      <c r="C75" t="inlineStr">
        <is>
          <t>Föryngringsavverkning</t>
        </is>
      </c>
      <c r="D75" s="1" t="n">
        <v>45918</v>
      </c>
      <c r="E75" s="1" t="n">
        <v>46220</v>
      </c>
      <c r="F75" t="inlineStr">
        <is>
          <t>ÖREBRO LÄN</t>
        </is>
      </c>
      <c r="G75" t="inlineStr">
        <is>
          <t>KARLSKOGA</t>
        </is>
      </c>
      <c r="I75" t="n">
        <v>2.4</v>
      </c>
      <c r="J75" t="n">
        <v>0</v>
      </c>
      <c r="K75" t="n">
        <v>0</v>
      </c>
      <c r="L75" t="n">
        <v>0</v>
      </c>
      <c r="M75" t="n">
        <v>0</v>
      </c>
      <c r="N75" t="n">
        <v>0</v>
      </c>
      <c r="O75" t="n">
        <v>0</v>
      </c>
      <c r="P75" t="n">
        <v>0</v>
      </c>
      <c r="Q75" t="n">
        <v>0</v>
      </c>
      <c r="R75" t="n">
        <v>0</v>
      </c>
      <c r="S75" t="n">
        <v>0</v>
      </c>
      <c r="T75" t="n">
        <v>0</v>
      </c>
      <c r="U75" s="2" t="inlineStr"/>
    </row>
    <row r="76" ht="15" customHeight="1">
      <c r="A76" t="inlineStr">
        <is>
          <t>A 44949-2025</t>
        </is>
      </c>
      <c r="B76" t="inlineStr">
        <is>
          <t>avverkningsanmälan</t>
        </is>
      </c>
      <c r="C76" t="inlineStr">
        <is>
          <t>Föryngringsavverkning</t>
        </is>
      </c>
      <c r="D76" s="1" t="n">
        <v>45918</v>
      </c>
      <c r="E76" s="1" t="n">
        <v>46220</v>
      </c>
      <c r="F76" t="inlineStr">
        <is>
          <t>ÖREBRO LÄN</t>
        </is>
      </c>
      <c r="G76" t="inlineStr">
        <is>
          <t>KARLSKOGA</t>
        </is>
      </c>
      <c r="I76" t="n">
        <v>0.8</v>
      </c>
      <c r="J76" t="n">
        <v>0</v>
      </c>
      <c r="K76" t="n">
        <v>0</v>
      </c>
      <c r="L76" t="n">
        <v>0</v>
      </c>
      <c r="M76" t="n">
        <v>0</v>
      </c>
      <c r="N76" t="n">
        <v>0</v>
      </c>
      <c r="O76" t="n">
        <v>0</v>
      </c>
      <c r="P76" t="n">
        <v>0</v>
      </c>
      <c r="Q76" t="n">
        <v>0</v>
      </c>
      <c r="R76" t="n">
        <v>0</v>
      </c>
      <c r="S76" t="n">
        <v>0</v>
      </c>
      <c r="T76" t="n">
        <v>0</v>
      </c>
      <c r="U76" s="2" t="inlineStr"/>
    </row>
    <row r="77" ht="15" customHeight="1">
      <c r="A77" t="inlineStr">
        <is>
          <t>A 59938-2023</t>
        </is>
      </c>
      <c r="B77" t="inlineStr">
        <is>
          <t>avverkningsanmälan</t>
        </is>
      </c>
      <c r="C77" t="inlineStr">
        <is>
          <t>Föryngringsavverkning</t>
        </is>
      </c>
      <c r="D77" s="1" t="n">
        <v>45257</v>
      </c>
      <c r="E77" s="1" t="n">
        <v>46220</v>
      </c>
      <c r="F77" t="inlineStr">
        <is>
          <t>ÖREBRO LÄN</t>
        </is>
      </c>
      <c r="G77" t="inlineStr">
        <is>
          <t>KARLSKOGA</t>
        </is>
      </c>
      <c r="I77" t="n">
        <v>2.9</v>
      </c>
      <c r="J77" t="n">
        <v>0</v>
      </c>
      <c r="K77" t="n">
        <v>0</v>
      </c>
      <c r="L77" t="n">
        <v>0</v>
      </c>
      <c r="M77" t="n">
        <v>0</v>
      </c>
      <c r="N77" t="n">
        <v>0</v>
      </c>
      <c r="O77" t="n">
        <v>0</v>
      </c>
      <c r="P77" t="n">
        <v>0</v>
      </c>
      <c r="Q77" t="n">
        <v>0</v>
      </c>
      <c r="R77" t="n">
        <v>0</v>
      </c>
      <c r="S77" t="n">
        <v>0</v>
      </c>
      <c r="T77" t="n">
        <v>0</v>
      </c>
      <c r="U77" s="2" t="inlineStr"/>
    </row>
    <row r="78" ht="15" customHeight="1">
      <c r="A78" t="inlineStr">
        <is>
          <t>A 52828-2024</t>
        </is>
      </c>
      <c r="B78" t="inlineStr">
        <is>
          <t>avverkningsanmälan</t>
        </is>
      </c>
      <c r="C78" t="inlineStr">
        <is>
          <t>Föryngringsavverkning</t>
        </is>
      </c>
      <c r="D78" s="1" t="n">
        <v>45610</v>
      </c>
      <c r="E78" s="1" t="n">
        <v>46220</v>
      </c>
      <c r="F78" t="inlineStr">
        <is>
          <t>ÖREBRO LÄN</t>
        </is>
      </c>
      <c r="G78" t="inlineStr">
        <is>
          <t>KARLSKOGA</t>
        </is>
      </c>
      <c r="I78" t="n">
        <v>8.300000000000001</v>
      </c>
      <c r="J78" t="n">
        <v>0</v>
      </c>
      <c r="K78" t="n">
        <v>0</v>
      </c>
      <c r="L78" t="n">
        <v>0</v>
      </c>
      <c r="M78" t="n">
        <v>0</v>
      </c>
      <c r="N78" t="n">
        <v>0</v>
      </c>
      <c r="O78" t="n">
        <v>0</v>
      </c>
      <c r="P78" t="n">
        <v>0</v>
      </c>
      <c r="Q78" t="n">
        <v>0</v>
      </c>
      <c r="R78" t="n">
        <v>0</v>
      </c>
      <c r="S78" t="n">
        <v>0</v>
      </c>
      <c r="T78" t="n">
        <v>0</v>
      </c>
      <c r="U78" s="2" t="inlineStr"/>
    </row>
    <row r="79" ht="15" customHeight="1">
      <c r="A79" t="inlineStr">
        <is>
          <t>A 45664-2025</t>
        </is>
      </c>
      <c r="B79" t="inlineStr">
        <is>
          <t>avverkningsanmälan</t>
        </is>
      </c>
      <c r="C79" t="inlineStr">
        <is>
          <t>Föryngringsavverkning</t>
        </is>
      </c>
      <c r="D79" s="1" t="n">
        <v>45923</v>
      </c>
      <c r="E79" s="1" t="n">
        <v>46220</v>
      </c>
      <c r="F79" t="inlineStr">
        <is>
          <t>ÖREBRO LÄN</t>
        </is>
      </c>
      <c r="G79" t="inlineStr">
        <is>
          <t>KARLSKOGA</t>
        </is>
      </c>
      <c r="H79" t="inlineStr">
        <is>
          <t>Sveaskog</t>
        </is>
      </c>
      <c r="I79" t="n">
        <v>9</v>
      </c>
      <c r="J79" t="n">
        <v>0</v>
      </c>
      <c r="K79" t="n">
        <v>0</v>
      </c>
      <c r="L79" t="n">
        <v>0</v>
      </c>
      <c r="M79" t="n">
        <v>0</v>
      </c>
      <c r="N79" t="n">
        <v>0</v>
      </c>
      <c r="O79" t="n">
        <v>0</v>
      </c>
      <c r="P79" t="n">
        <v>0</v>
      </c>
      <c r="Q79" t="n">
        <v>0</v>
      </c>
      <c r="R79" t="n">
        <v>0</v>
      </c>
      <c r="S79" t="n">
        <v>0</v>
      </c>
      <c r="T79" t="n">
        <v>0</v>
      </c>
      <c r="U79" s="2" t="inlineStr"/>
    </row>
    <row r="80" ht="15" customHeight="1">
      <c r="A80" t="inlineStr">
        <is>
          <t>A 15256-2025</t>
        </is>
      </c>
      <c r="B80" t="inlineStr">
        <is>
          <t>avverkningsanmälan</t>
        </is>
      </c>
      <c r="C80" t="inlineStr">
        <is>
          <t>Föryngringsavverkning</t>
        </is>
      </c>
      <c r="D80" s="1" t="n">
        <v>45744</v>
      </c>
      <c r="E80" s="1" t="n">
        <v>46220</v>
      </c>
      <c r="F80" t="inlineStr">
        <is>
          <t>ÖREBRO LÄN</t>
        </is>
      </c>
      <c r="G80" t="inlineStr">
        <is>
          <t>KARLSKOGA</t>
        </is>
      </c>
      <c r="H80" t="inlineStr">
        <is>
          <t>Sveaskog</t>
        </is>
      </c>
      <c r="I80" t="n">
        <v>5.5</v>
      </c>
      <c r="J80" t="n">
        <v>0</v>
      </c>
      <c r="K80" t="n">
        <v>0</v>
      </c>
      <c r="L80" t="n">
        <v>0</v>
      </c>
      <c r="M80" t="n">
        <v>0</v>
      </c>
      <c r="N80" t="n">
        <v>0</v>
      </c>
      <c r="O80" t="n">
        <v>0</v>
      </c>
      <c r="P80" t="n">
        <v>0</v>
      </c>
      <c r="Q80" t="n">
        <v>0</v>
      </c>
      <c r="R80" t="n">
        <v>0</v>
      </c>
      <c r="S80" t="n">
        <v>0</v>
      </c>
      <c r="T80" t="n">
        <v>0</v>
      </c>
      <c r="U80" s="2" t="inlineStr"/>
    </row>
    <row r="81" ht="15" customHeight="1">
      <c r="A81" t="inlineStr">
        <is>
          <t>A 2911-2026</t>
        </is>
      </c>
      <c r="B81" t="inlineStr">
        <is>
          <t>avverkningsanmälan</t>
        </is>
      </c>
      <c r="C81" t="inlineStr">
        <is>
          <t>Föryngringsavverkning</t>
        </is>
      </c>
      <c r="D81" s="1" t="n">
        <v>46038</v>
      </c>
      <c r="E81" s="1" t="n">
        <v>46220</v>
      </c>
      <c r="F81" t="inlineStr">
        <is>
          <t>ÖREBRO LÄN</t>
        </is>
      </c>
      <c r="G81" t="inlineStr">
        <is>
          <t>KARLSKOGA</t>
        </is>
      </c>
      <c r="I81" t="n">
        <v>1.1</v>
      </c>
      <c r="J81" t="n">
        <v>0</v>
      </c>
      <c r="K81" t="n">
        <v>0</v>
      </c>
      <c r="L81" t="n">
        <v>0</v>
      </c>
      <c r="M81" t="n">
        <v>0</v>
      </c>
      <c r="N81" t="n">
        <v>0</v>
      </c>
      <c r="O81" t="n">
        <v>0</v>
      </c>
      <c r="P81" t="n">
        <v>0</v>
      </c>
      <c r="Q81" t="n">
        <v>0</v>
      </c>
      <c r="R81" t="n">
        <v>0</v>
      </c>
      <c r="S81" t="n">
        <v>0</v>
      </c>
      <c r="T81" t="n">
        <v>0</v>
      </c>
      <c r="U81" s="2" t="inlineStr"/>
    </row>
    <row r="82" ht="15" customHeight="1">
      <c r="A82" t="inlineStr">
        <is>
          <t>A 24115-2024</t>
        </is>
      </c>
      <c r="B82" t="inlineStr">
        <is>
          <t>avverkningsanmälan</t>
        </is>
      </c>
      <c r="C82" t="inlineStr">
        <is>
          <t>Föryngringsavverkning</t>
        </is>
      </c>
      <c r="D82" s="1" t="n">
        <v>45456</v>
      </c>
      <c r="E82" s="1" t="n">
        <v>46220</v>
      </c>
      <c r="F82" t="inlineStr">
        <is>
          <t>ÖREBRO LÄN</t>
        </is>
      </c>
      <c r="G82" t="inlineStr">
        <is>
          <t>KARLSKOGA</t>
        </is>
      </c>
      <c r="I82" t="n">
        <v>8</v>
      </c>
      <c r="J82" t="n">
        <v>0</v>
      </c>
      <c r="K82" t="n">
        <v>0</v>
      </c>
      <c r="L82" t="n">
        <v>0</v>
      </c>
      <c r="M82" t="n">
        <v>0</v>
      </c>
      <c r="N82" t="n">
        <v>0</v>
      </c>
      <c r="O82" t="n">
        <v>0</v>
      </c>
      <c r="P82" t="n">
        <v>0</v>
      </c>
      <c r="Q82" t="n">
        <v>0</v>
      </c>
      <c r="R82" t="n">
        <v>0</v>
      </c>
      <c r="S82" t="n">
        <v>0</v>
      </c>
      <c r="T82" t="n">
        <v>0</v>
      </c>
      <c r="U82" s="2" t="inlineStr"/>
    </row>
    <row r="83" ht="15" customHeight="1">
      <c r="A83" t="inlineStr">
        <is>
          <t>A 50958-2025</t>
        </is>
      </c>
      <c r="B83" t="inlineStr">
        <is>
          <t>avverkningsanmälan</t>
        </is>
      </c>
      <c r="C83" t="inlineStr">
        <is>
          <t>Föryngringsavverkning</t>
        </is>
      </c>
      <c r="D83" s="1" t="n">
        <v>45946</v>
      </c>
      <c r="E83" s="1" t="n">
        <v>46220</v>
      </c>
      <c r="F83" t="inlineStr">
        <is>
          <t>ÖREBRO LÄN</t>
        </is>
      </c>
      <c r="G83" t="inlineStr">
        <is>
          <t>KARLSKOGA</t>
        </is>
      </c>
      <c r="I83" t="n">
        <v>0.4</v>
      </c>
      <c r="J83" t="n">
        <v>0</v>
      </c>
      <c r="K83" t="n">
        <v>0</v>
      </c>
      <c r="L83" t="n">
        <v>0</v>
      </c>
      <c r="M83" t="n">
        <v>0</v>
      </c>
      <c r="N83" t="n">
        <v>0</v>
      </c>
      <c r="O83" t="n">
        <v>0</v>
      </c>
      <c r="P83" t="n">
        <v>0</v>
      </c>
      <c r="Q83" t="n">
        <v>0</v>
      </c>
      <c r="R83" t="n">
        <v>0</v>
      </c>
      <c r="S83" t="n">
        <v>0</v>
      </c>
      <c r="T83" t="n">
        <v>0</v>
      </c>
      <c r="U83" s="2" t="inlineStr"/>
    </row>
    <row r="84" ht="15" customHeight="1">
      <c r="A84" t="inlineStr">
        <is>
          <t>A 47222-2024</t>
        </is>
      </c>
      <c r="B84" t="inlineStr">
        <is>
          <t>avverkningsanmälan</t>
        </is>
      </c>
      <c r="C84" t="inlineStr">
        <is>
          <t>Föryngringsavverkning</t>
        </is>
      </c>
      <c r="D84" s="1" t="n">
        <v>45586</v>
      </c>
      <c r="E84" s="1" t="n">
        <v>46220</v>
      </c>
      <c r="F84" t="inlineStr">
        <is>
          <t>ÖREBRO LÄN</t>
        </is>
      </c>
      <c r="G84" t="inlineStr">
        <is>
          <t>KARLSKOGA</t>
        </is>
      </c>
      <c r="H84" t="inlineStr">
        <is>
          <t>Sveaskog</t>
        </is>
      </c>
      <c r="I84" t="n">
        <v>5.3</v>
      </c>
      <c r="J84" t="n">
        <v>0</v>
      </c>
      <c r="K84" t="n">
        <v>0</v>
      </c>
      <c r="L84" t="n">
        <v>0</v>
      </c>
      <c r="M84" t="n">
        <v>0</v>
      </c>
      <c r="N84" t="n">
        <v>0</v>
      </c>
      <c r="O84" t="n">
        <v>0</v>
      </c>
      <c r="P84" t="n">
        <v>0</v>
      </c>
      <c r="Q84" t="n">
        <v>0</v>
      </c>
      <c r="R84" t="n">
        <v>0</v>
      </c>
      <c r="S84" t="n">
        <v>0</v>
      </c>
      <c r="T84" t="n">
        <v>0</v>
      </c>
      <c r="U84" s="2" t="inlineStr"/>
    </row>
    <row r="85" ht="15" customHeight="1">
      <c r="A85" t="inlineStr">
        <is>
          <t>A 18768-2025</t>
        </is>
      </c>
      <c r="B85" t="inlineStr">
        <is>
          <t>avverkningsanmälan</t>
        </is>
      </c>
      <c r="C85" t="inlineStr">
        <is>
          <t>Föryngringsavverkning</t>
        </is>
      </c>
      <c r="D85" s="1" t="n">
        <v>45764</v>
      </c>
      <c r="E85" s="1" t="n">
        <v>46220</v>
      </c>
      <c r="F85" t="inlineStr">
        <is>
          <t>ÖREBRO LÄN</t>
        </is>
      </c>
      <c r="G85" t="inlineStr">
        <is>
          <t>KARLSKOGA</t>
        </is>
      </c>
      <c r="H85" t="inlineStr">
        <is>
          <t>Sveaskog</t>
        </is>
      </c>
      <c r="I85" t="n">
        <v>0.7</v>
      </c>
      <c r="J85" t="n">
        <v>0</v>
      </c>
      <c r="K85" t="n">
        <v>0</v>
      </c>
      <c r="L85" t="n">
        <v>0</v>
      </c>
      <c r="M85" t="n">
        <v>0</v>
      </c>
      <c r="N85" t="n">
        <v>0</v>
      </c>
      <c r="O85" t="n">
        <v>0</v>
      </c>
      <c r="P85" t="n">
        <v>0</v>
      </c>
      <c r="Q85" t="n">
        <v>0</v>
      </c>
      <c r="R85" t="n">
        <v>0</v>
      </c>
      <c r="S85" t="n">
        <v>0</v>
      </c>
      <c r="T85" t="n">
        <v>0</v>
      </c>
      <c r="U85" s="2" t="inlineStr"/>
    </row>
    <row r="86" ht="15" customHeight="1">
      <c r="A86" t="inlineStr">
        <is>
          <t>A 4801-2024</t>
        </is>
      </c>
      <c r="B86" t="inlineStr">
        <is>
          <t>avverkningsanmälan</t>
        </is>
      </c>
      <c r="C86" t="inlineStr">
        <is>
          <t>Föryngringsavverkning</t>
        </is>
      </c>
      <c r="D86" s="1" t="n">
        <v>45328</v>
      </c>
      <c r="E86" s="1" t="n">
        <v>46220</v>
      </c>
      <c r="F86" t="inlineStr">
        <is>
          <t>ÖREBRO LÄN</t>
        </is>
      </c>
      <c r="G86" t="inlineStr">
        <is>
          <t>KARLSKOGA</t>
        </is>
      </c>
      <c r="I86" t="n">
        <v>0.9</v>
      </c>
      <c r="J86" t="n">
        <v>0</v>
      </c>
      <c r="K86" t="n">
        <v>0</v>
      </c>
      <c r="L86" t="n">
        <v>0</v>
      </c>
      <c r="M86" t="n">
        <v>0</v>
      </c>
      <c r="N86" t="n">
        <v>0</v>
      </c>
      <c r="O86" t="n">
        <v>0</v>
      </c>
      <c r="P86" t="n">
        <v>0</v>
      </c>
      <c r="Q86" t="n">
        <v>0</v>
      </c>
      <c r="R86" t="n">
        <v>0</v>
      </c>
      <c r="S86" t="n">
        <v>0</v>
      </c>
      <c r="T86" t="n">
        <v>0</v>
      </c>
      <c r="U86" s="2" t="inlineStr"/>
    </row>
    <row r="87" ht="15" customHeight="1">
      <c r="A87" t="inlineStr">
        <is>
          <t>A 4802-2024</t>
        </is>
      </c>
      <c r="B87" t="inlineStr">
        <is>
          <t>avverkningsanmälan</t>
        </is>
      </c>
      <c r="C87" t="inlineStr">
        <is>
          <t>Föryngringsavverkning</t>
        </is>
      </c>
      <c r="D87" s="1" t="n">
        <v>45328</v>
      </c>
      <c r="E87" s="1" t="n">
        <v>46220</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s="2" t="inlineStr"/>
    </row>
    <row r="88" ht="15" customHeight="1">
      <c r="A88" t="inlineStr">
        <is>
          <t>A 24255-2024</t>
        </is>
      </c>
      <c r="B88" t="inlineStr">
        <is>
          <t>avverkningsanmälan</t>
        </is>
      </c>
      <c r="C88" t="inlineStr">
        <is>
          <t>Föryngringsavverkning</t>
        </is>
      </c>
      <c r="D88" s="1" t="n">
        <v>45457</v>
      </c>
      <c r="E88" s="1" t="n">
        <v>46220</v>
      </c>
      <c r="F88" t="inlineStr">
        <is>
          <t>ÖREBRO LÄN</t>
        </is>
      </c>
      <c r="G88" t="inlineStr">
        <is>
          <t>KARLSKOGA</t>
        </is>
      </c>
      <c r="I88" t="n">
        <v>2.4</v>
      </c>
      <c r="J88" t="n">
        <v>0</v>
      </c>
      <c r="K88" t="n">
        <v>0</v>
      </c>
      <c r="L88" t="n">
        <v>0</v>
      </c>
      <c r="M88" t="n">
        <v>0</v>
      </c>
      <c r="N88" t="n">
        <v>0</v>
      </c>
      <c r="O88" t="n">
        <v>0</v>
      </c>
      <c r="P88" t="n">
        <v>0</v>
      </c>
      <c r="Q88" t="n">
        <v>0</v>
      </c>
      <c r="R88" t="n">
        <v>0</v>
      </c>
      <c r="S88" t="n">
        <v>0</v>
      </c>
      <c r="T88" t="n">
        <v>0</v>
      </c>
      <c r="U88" s="2" t="inlineStr"/>
    </row>
    <row r="89" ht="15" customHeight="1">
      <c r="A89" t="inlineStr">
        <is>
          <t>A 8990-2023</t>
        </is>
      </c>
      <c r="B89" t="inlineStr">
        <is>
          <t>avverkningsanmälan</t>
        </is>
      </c>
      <c r="C89" t="inlineStr">
        <is>
          <t>Föryngringsavverkning</t>
        </is>
      </c>
      <c r="D89" s="1" t="n">
        <v>44979</v>
      </c>
      <c r="E89" s="1" t="n">
        <v>46220</v>
      </c>
      <c r="F89" t="inlineStr">
        <is>
          <t>ÖREBRO LÄN</t>
        </is>
      </c>
      <c r="G89" t="inlineStr">
        <is>
          <t>KARLSKOGA</t>
        </is>
      </c>
      <c r="I89" t="n">
        <v>2.1</v>
      </c>
      <c r="J89" t="n">
        <v>0</v>
      </c>
      <c r="K89" t="n">
        <v>0</v>
      </c>
      <c r="L89" t="n">
        <v>0</v>
      </c>
      <c r="M89" t="n">
        <v>0</v>
      </c>
      <c r="N89" t="n">
        <v>0</v>
      </c>
      <c r="O89" t="n">
        <v>0</v>
      </c>
      <c r="P89" t="n">
        <v>0</v>
      </c>
      <c r="Q89" t="n">
        <v>0</v>
      </c>
      <c r="R89" t="n">
        <v>0</v>
      </c>
      <c r="S89" t="n">
        <v>0</v>
      </c>
      <c r="T89" t="n">
        <v>0</v>
      </c>
      <c r="U89" s="2" t="inlineStr"/>
    </row>
    <row r="90" ht="15" customHeight="1">
      <c r="A90" t="inlineStr">
        <is>
          <t>A 55025-2025</t>
        </is>
      </c>
      <c r="B90" t="inlineStr">
        <is>
          <t>avverkningsanmälan</t>
        </is>
      </c>
      <c r="C90" t="inlineStr">
        <is>
          <t>Föryngringsavverkning</t>
        </is>
      </c>
      <c r="D90" s="1" t="n">
        <v>45967</v>
      </c>
      <c r="E90" s="1" t="n">
        <v>46220</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s="2" t="inlineStr"/>
    </row>
    <row r="91" ht="15" customHeight="1">
      <c r="A91" t="inlineStr">
        <is>
          <t>A 42802-2023</t>
        </is>
      </c>
      <c r="B91" t="inlineStr">
        <is>
          <t>avverkningsanmälan</t>
        </is>
      </c>
      <c r="C91" t="inlineStr">
        <is>
          <t>Avverkning för att bevara och utveckla /försöksver</t>
        </is>
      </c>
      <c r="D91" s="1" t="n">
        <v>45182</v>
      </c>
      <c r="E91" s="1" t="n">
        <v>46220</v>
      </c>
      <c r="F91" t="inlineStr">
        <is>
          <t>ÖREBRO LÄN</t>
        </is>
      </c>
      <c r="G91" t="inlineStr">
        <is>
          <t>KARLSKOGA</t>
        </is>
      </c>
      <c r="H91" t="inlineStr">
        <is>
          <t>Sveaskog</t>
        </is>
      </c>
      <c r="I91" t="n">
        <v>0.6</v>
      </c>
      <c r="J91" t="n">
        <v>0</v>
      </c>
      <c r="K91" t="n">
        <v>0</v>
      </c>
      <c r="L91" t="n">
        <v>0</v>
      </c>
      <c r="M91" t="n">
        <v>0</v>
      </c>
      <c r="N91" t="n">
        <v>0</v>
      </c>
      <c r="O91" t="n">
        <v>0</v>
      </c>
      <c r="P91" t="n">
        <v>0</v>
      </c>
      <c r="Q91" t="n">
        <v>0</v>
      </c>
      <c r="R91" t="n">
        <v>0</v>
      </c>
      <c r="S91" t="n">
        <v>0</v>
      </c>
      <c r="T91" t="n">
        <v>0</v>
      </c>
      <c r="U91" s="2" t="inlineStr"/>
    </row>
    <row r="92" ht="15" customHeight="1">
      <c r="A92" t="inlineStr">
        <is>
          <t>A 28471-2023</t>
        </is>
      </c>
      <c r="B92" t="inlineStr">
        <is>
          <t>avverkningsanmälan</t>
        </is>
      </c>
      <c r="C92" t="inlineStr">
        <is>
          <t>Föryngringsavverkning</t>
        </is>
      </c>
      <c r="D92" s="1" t="n">
        <v>45103</v>
      </c>
      <c r="E92" s="1" t="n">
        <v>46220</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s="2" t="inlineStr"/>
    </row>
    <row r="93" ht="15" customHeight="1">
      <c r="A93" t="inlineStr">
        <is>
          <t>A 22867-2022</t>
        </is>
      </c>
      <c r="B93" t="inlineStr">
        <is>
          <t>avverkningsanmälan</t>
        </is>
      </c>
      <c r="C93" t="inlineStr">
        <is>
          <t>Föryngringsavverkning</t>
        </is>
      </c>
      <c r="D93" s="1" t="n">
        <v>44715</v>
      </c>
      <c r="E93" s="1" t="n">
        <v>46220</v>
      </c>
      <c r="F93" t="inlineStr">
        <is>
          <t>ÖREBRO LÄN</t>
        </is>
      </c>
      <c r="G93" t="inlineStr">
        <is>
          <t>KARLSKOGA</t>
        </is>
      </c>
      <c r="I93" t="n">
        <v>0.8</v>
      </c>
      <c r="J93" t="n">
        <v>0</v>
      </c>
      <c r="K93" t="n">
        <v>0</v>
      </c>
      <c r="L93" t="n">
        <v>0</v>
      </c>
      <c r="M93" t="n">
        <v>0</v>
      </c>
      <c r="N93" t="n">
        <v>0</v>
      </c>
      <c r="O93" t="n">
        <v>0</v>
      </c>
      <c r="P93" t="n">
        <v>0</v>
      </c>
      <c r="Q93" t="n">
        <v>0</v>
      </c>
      <c r="R93" t="n">
        <v>0</v>
      </c>
      <c r="S93" t="n">
        <v>0</v>
      </c>
      <c r="T93" t="n">
        <v>0</v>
      </c>
      <c r="U93" s="2" t="inlineStr"/>
    </row>
    <row r="94" ht="15" customHeight="1">
      <c r="A94" t="inlineStr">
        <is>
          <t>A 64060-2023</t>
        </is>
      </c>
      <c r="B94" t="inlineStr">
        <is>
          <t>avverkningsanmälan</t>
        </is>
      </c>
      <c r="C94" t="inlineStr">
        <is>
          <t>Föryngringsavverkning</t>
        </is>
      </c>
      <c r="D94" s="1" t="n">
        <v>45279</v>
      </c>
      <c r="E94" s="1" t="n">
        <v>46220</v>
      </c>
      <c r="F94" t="inlineStr">
        <is>
          <t>ÖREBRO LÄN</t>
        </is>
      </c>
      <c r="G94" t="inlineStr">
        <is>
          <t>KARLSKOGA</t>
        </is>
      </c>
      <c r="I94" t="n">
        <v>1.9</v>
      </c>
      <c r="J94" t="n">
        <v>0</v>
      </c>
      <c r="K94" t="n">
        <v>0</v>
      </c>
      <c r="L94" t="n">
        <v>0</v>
      </c>
      <c r="M94" t="n">
        <v>0</v>
      </c>
      <c r="N94" t="n">
        <v>0</v>
      </c>
      <c r="O94" t="n">
        <v>0</v>
      </c>
      <c r="P94" t="n">
        <v>0</v>
      </c>
      <c r="Q94" t="n">
        <v>0</v>
      </c>
      <c r="R94" t="n">
        <v>0</v>
      </c>
      <c r="S94" t="n">
        <v>0</v>
      </c>
      <c r="T94" t="n">
        <v>0</v>
      </c>
      <c r="U94" s="2" t="inlineStr"/>
    </row>
    <row r="95" ht="15" customHeight="1">
      <c r="A95" t="inlineStr">
        <is>
          <t>A 48707-2024</t>
        </is>
      </c>
      <c r="B95" t="inlineStr">
        <is>
          <t>avverkningsanmälan</t>
        </is>
      </c>
      <c r="C95" t="inlineStr">
        <is>
          <t>Föryngringsavverkning</t>
        </is>
      </c>
      <c r="D95" s="1" t="n">
        <v>45593</v>
      </c>
      <c r="E95" s="1" t="n">
        <v>46220</v>
      </c>
      <c r="F95" t="inlineStr">
        <is>
          <t>ÖREBRO LÄN</t>
        </is>
      </c>
      <c r="G95" t="inlineStr">
        <is>
          <t>KARLSKOGA</t>
        </is>
      </c>
      <c r="I95" t="n">
        <v>6</v>
      </c>
      <c r="J95" t="n">
        <v>0</v>
      </c>
      <c r="K95" t="n">
        <v>0</v>
      </c>
      <c r="L95" t="n">
        <v>0</v>
      </c>
      <c r="M95" t="n">
        <v>0</v>
      </c>
      <c r="N95" t="n">
        <v>0</v>
      </c>
      <c r="O95" t="n">
        <v>0</v>
      </c>
      <c r="P95" t="n">
        <v>0</v>
      </c>
      <c r="Q95" t="n">
        <v>0</v>
      </c>
      <c r="R95" t="n">
        <v>0</v>
      </c>
      <c r="S95" t="n">
        <v>0</v>
      </c>
      <c r="T95" t="n">
        <v>0</v>
      </c>
      <c r="U95" s="2" t="inlineStr"/>
    </row>
    <row r="96" ht="15" customHeight="1">
      <c r="A96" t="inlineStr">
        <is>
          <t>A 55832-2023</t>
        </is>
      </c>
      <c r="B96" t="inlineStr">
        <is>
          <t>avverkningsanmälan</t>
        </is>
      </c>
      <c r="C96" t="inlineStr">
        <is>
          <t>Föryngringsavverkning</t>
        </is>
      </c>
      <c r="D96" s="1" t="n">
        <v>45239</v>
      </c>
      <c r="E96" s="1" t="n">
        <v>46220</v>
      </c>
      <c r="F96" t="inlineStr">
        <is>
          <t>ÖREBRO LÄN</t>
        </is>
      </c>
      <c r="G96" t="inlineStr">
        <is>
          <t>KARLSKOGA</t>
        </is>
      </c>
      <c r="I96" t="n">
        <v>0.5</v>
      </c>
      <c r="J96" t="n">
        <v>0</v>
      </c>
      <c r="K96" t="n">
        <v>0</v>
      </c>
      <c r="L96" t="n">
        <v>0</v>
      </c>
      <c r="M96" t="n">
        <v>0</v>
      </c>
      <c r="N96" t="n">
        <v>0</v>
      </c>
      <c r="O96" t="n">
        <v>0</v>
      </c>
      <c r="P96" t="n">
        <v>0</v>
      </c>
      <c r="Q96" t="n">
        <v>0</v>
      </c>
      <c r="R96" t="n">
        <v>0</v>
      </c>
      <c r="S96" t="n">
        <v>0</v>
      </c>
      <c r="T96" t="n">
        <v>0</v>
      </c>
      <c r="U96" s="2" t="inlineStr"/>
    </row>
    <row r="97" ht="15" customHeight="1">
      <c r="A97" t="inlineStr">
        <is>
          <t>A 58388-2024</t>
        </is>
      </c>
      <c r="B97" t="inlineStr">
        <is>
          <t>avverkningsanmälan</t>
        </is>
      </c>
      <c r="C97" t="inlineStr">
        <is>
          <t>Föryngringsavverkning</t>
        </is>
      </c>
      <c r="D97" s="1" t="n">
        <v>45633</v>
      </c>
      <c r="E97" s="1" t="n">
        <v>46220</v>
      </c>
      <c r="F97" t="inlineStr">
        <is>
          <t>ÖREBRO LÄN</t>
        </is>
      </c>
      <c r="G97" t="inlineStr">
        <is>
          <t>KARLSKOGA</t>
        </is>
      </c>
      <c r="I97" t="n">
        <v>5.8</v>
      </c>
      <c r="J97" t="n">
        <v>0</v>
      </c>
      <c r="K97" t="n">
        <v>0</v>
      </c>
      <c r="L97" t="n">
        <v>0</v>
      </c>
      <c r="M97" t="n">
        <v>0</v>
      </c>
      <c r="N97" t="n">
        <v>0</v>
      </c>
      <c r="O97" t="n">
        <v>0</v>
      </c>
      <c r="P97" t="n">
        <v>0</v>
      </c>
      <c r="Q97" t="n">
        <v>0</v>
      </c>
      <c r="R97" t="n">
        <v>0</v>
      </c>
      <c r="S97" t="n">
        <v>0</v>
      </c>
      <c r="T97" t="n">
        <v>0</v>
      </c>
      <c r="U97" s="2" t="inlineStr"/>
    </row>
    <row r="98" ht="15" customHeight="1">
      <c r="A98" t="inlineStr">
        <is>
          <t>A 59522-2025</t>
        </is>
      </c>
      <c r="B98" t="inlineStr">
        <is>
          <t>avverkningsanmälan</t>
        </is>
      </c>
      <c r="C98" t="inlineStr">
        <is>
          <t>Avverkning för att bevara och utveckla /försöksver</t>
        </is>
      </c>
      <c r="D98" s="1" t="n">
        <v>45989</v>
      </c>
      <c r="E98" s="1" t="n">
        <v>46220</v>
      </c>
      <c r="F98" t="inlineStr">
        <is>
          <t>ÖREBRO LÄN</t>
        </is>
      </c>
      <c r="G98" t="inlineStr">
        <is>
          <t>KARLSKOGA</t>
        </is>
      </c>
      <c r="H98" t="inlineStr">
        <is>
          <t>Sveaskog</t>
        </is>
      </c>
      <c r="I98" t="n">
        <v>2.6</v>
      </c>
      <c r="J98" t="n">
        <v>0</v>
      </c>
      <c r="K98" t="n">
        <v>0</v>
      </c>
      <c r="L98" t="n">
        <v>0</v>
      </c>
      <c r="M98" t="n">
        <v>0</v>
      </c>
      <c r="N98" t="n">
        <v>0</v>
      </c>
      <c r="O98" t="n">
        <v>0</v>
      </c>
      <c r="P98" t="n">
        <v>0</v>
      </c>
      <c r="Q98" t="n">
        <v>0</v>
      </c>
      <c r="R98" t="n">
        <v>0</v>
      </c>
      <c r="S98" t="n">
        <v>0</v>
      </c>
      <c r="T98" t="n">
        <v>0</v>
      </c>
      <c r="U98" s="2" t="inlineStr"/>
    </row>
    <row r="99" ht="15" customHeight="1">
      <c r="A99" t="inlineStr">
        <is>
          <t>A 60506-2025</t>
        </is>
      </c>
      <c r="B99" t="inlineStr">
        <is>
          <t>avverkningsanmälan</t>
        </is>
      </c>
      <c r="C99" t="inlineStr">
        <is>
          <t>Föryngringsavverkning</t>
        </is>
      </c>
      <c r="D99" s="1" t="n">
        <v>45995</v>
      </c>
      <c r="E99" s="1" t="n">
        <v>46220</v>
      </c>
      <c r="F99" t="inlineStr">
        <is>
          <t>ÖREBRO LÄN</t>
        </is>
      </c>
      <c r="G99" t="inlineStr">
        <is>
          <t>KARLSKOGA</t>
        </is>
      </c>
      <c r="I99" t="n">
        <v>0.8</v>
      </c>
      <c r="J99" t="n">
        <v>0</v>
      </c>
      <c r="K99" t="n">
        <v>0</v>
      </c>
      <c r="L99" t="n">
        <v>0</v>
      </c>
      <c r="M99" t="n">
        <v>0</v>
      </c>
      <c r="N99" t="n">
        <v>0</v>
      </c>
      <c r="O99" t="n">
        <v>0</v>
      </c>
      <c r="P99" t="n">
        <v>0</v>
      </c>
      <c r="Q99" t="n">
        <v>0</v>
      </c>
      <c r="R99" t="n">
        <v>0</v>
      </c>
      <c r="S99" t="n">
        <v>0</v>
      </c>
      <c r="T99" t="n">
        <v>0</v>
      </c>
      <c r="U99" s="2" t="inlineStr"/>
    </row>
    <row r="100" ht="15" customHeight="1">
      <c r="A100" t="inlineStr">
        <is>
          <t>A 60508-2025</t>
        </is>
      </c>
      <c r="B100" t="inlineStr">
        <is>
          <t>avverkningsanmälan</t>
        </is>
      </c>
      <c r="C100" t="inlineStr">
        <is>
          <t>Föryngringsavverkning</t>
        </is>
      </c>
      <c r="D100" s="1" t="n">
        <v>45995</v>
      </c>
      <c r="E100" s="1" t="n">
        <v>46220</v>
      </c>
      <c r="F100" t="inlineStr">
        <is>
          <t>ÖREBRO LÄN</t>
        </is>
      </c>
      <c r="G100" t="inlineStr">
        <is>
          <t>KARLSKOGA</t>
        </is>
      </c>
      <c r="I100" t="n">
        <v>2.1</v>
      </c>
      <c r="J100" t="n">
        <v>0</v>
      </c>
      <c r="K100" t="n">
        <v>0</v>
      </c>
      <c r="L100" t="n">
        <v>0</v>
      </c>
      <c r="M100" t="n">
        <v>0</v>
      </c>
      <c r="N100" t="n">
        <v>0</v>
      </c>
      <c r="O100" t="n">
        <v>0</v>
      </c>
      <c r="P100" t="n">
        <v>0</v>
      </c>
      <c r="Q100" t="n">
        <v>0</v>
      </c>
      <c r="R100" t="n">
        <v>0</v>
      </c>
      <c r="S100" t="n">
        <v>0</v>
      </c>
      <c r="T100" t="n">
        <v>0</v>
      </c>
      <c r="U100" s="2" t="inlineStr"/>
    </row>
    <row r="101" ht="15" customHeight="1">
      <c r="A101" t="inlineStr">
        <is>
          <t>A 60503-2025</t>
        </is>
      </c>
      <c r="B101" t="inlineStr">
        <is>
          <t>avverkningsanmälan</t>
        </is>
      </c>
      <c r="C101" t="inlineStr">
        <is>
          <t>Föryngringsavverkning</t>
        </is>
      </c>
      <c r="D101" s="1" t="n">
        <v>45995</v>
      </c>
      <c r="E101" s="1" t="n">
        <v>46220</v>
      </c>
      <c r="F101" t="inlineStr">
        <is>
          <t>ÖREBRO LÄN</t>
        </is>
      </c>
      <c r="G101" t="inlineStr">
        <is>
          <t>KARLSKOGA</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18978-2025</t>
        </is>
      </c>
      <c r="B102" t="inlineStr">
        <is>
          <t>avverkningsanmälan</t>
        </is>
      </c>
      <c r="C102" t="inlineStr">
        <is>
          <t>Föryngringsavverkning</t>
        </is>
      </c>
      <c r="D102" s="1" t="n">
        <v>45764</v>
      </c>
      <c r="E102" s="1" t="n">
        <v>46220</v>
      </c>
      <c r="F102" t="inlineStr">
        <is>
          <t>ÖREBRO LÄN</t>
        </is>
      </c>
      <c r="G102" t="inlineStr">
        <is>
          <t>KARLSKOGA</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31921-2022</t>
        </is>
      </c>
      <c r="B103" t="inlineStr">
        <is>
          <t>avverkningsanmälan</t>
        </is>
      </c>
      <c r="C103" t="inlineStr">
        <is>
          <t>Föryngringsavverkning</t>
        </is>
      </c>
      <c r="D103" s="1" t="n">
        <v>44777</v>
      </c>
      <c r="E103" s="1" t="n">
        <v>46220</v>
      </c>
      <c r="F103" t="inlineStr">
        <is>
          <t>ÖREBRO LÄN</t>
        </is>
      </c>
      <c r="G103" t="inlineStr">
        <is>
          <t>KARLSKOGA</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61788-2025</t>
        </is>
      </c>
      <c r="B104" t="inlineStr">
        <is>
          <t>avverkningsanmälan</t>
        </is>
      </c>
      <c r="C104" t="inlineStr">
        <is>
          <t>Föryngringsavverkning</t>
        </is>
      </c>
      <c r="D104" s="1" t="n">
        <v>46002</v>
      </c>
      <c r="E104" s="1" t="n">
        <v>46220</v>
      </c>
      <c r="F104" t="inlineStr">
        <is>
          <t>ÖREBRO LÄN</t>
        </is>
      </c>
      <c r="G104" t="inlineStr">
        <is>
          <t>KARLSKOGA</t>
        </is>
      </c>
      <c r="H104" t="inlineStr">
        <is>
          <t>Kyrkan</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43075-2023</t>
        </is>
      </c>
      <c r="B105" t="inlineStr">
        <is>
          <t>avverkningsanmälan</t>
        </is>
      </c>
      <c r="C105" t="inlineStr">
        <is>
          <t>Föryngringsavverkning</t>
        </is>
      </c>
      <c r="D105" s="1" t="n">
        <v>45182</v>
      </c>
      <c r="E105" s="1" t="n">
        <v>46220</v>
      </c>
      <c r="F105" t="inlineStr">
        <is>
          <t>ÖREBRO LÄN</t>
        </is>
      </c>
      <c r="G105" t="inlineStr">
        <is>
          <t>KARLSKOGA</t>
        </is>
      </c>
      <c r="I105" t="n">
        <v>3.1</v>
      </c>
      <c r="J105" t="n">
        <v>0</v>
      </c>
      <c r="K105" t="n">
        <v>0</v>
      </c>
      <c r="L105" t="n">
        <v>0</v>
      </c>
      <c r="M105" t="n">
        <v>0</v>
      </c>
      <c r="N105" t="n">
        <v>0</v>
      </c>
      <c r="O105" t="n">
        <v>0</v>
      </c>
      <c r="P105" t="n">
        <v>0</v>
      </c>
      <c r="Q105" t="n">
        <v>0</v>
      </c>
      <c r="R105" t="n">
        <v>0</v>
      </c>
      <c r="S105" t="n">
        <v>0</v>
      </c>
      <c r="T105" t="n">
        <v>0</v>
      </c>
      <c r="U105" s="2" t="inlineStr"/>
    </row>
    <row r="106" ht="15" customHeight="1">
      <c r="A106" t="inlineStr">
        <is>
          <t>A 47196-2023</t>
        </is>
      </c>
      <c r="B106" t="inlineStr">
        <is>
          <t>avverkningsanmälan</t>
        </is>
      </c>
      <c r="C106" t="inlineStr">
        <is>
          <t>Föryngringsavverkning</t>
        </is>
      </c>
      <c r="D106" s="1" t="n">
        <v>45196</v>
      </c>
      <c r="E106" s="1" t="n">
        <v>46220</v>
      </c>
      <c r="F106" t="inlineStr">
        <is>
          <t>ÖREBRO LÄN</t>
        </is>
      </c>
      <c r="G106" t="inlineStr">
        <is>
          <t>KARLSKOGA</t>
        </is>
      </c>
      <c r="I106" t="n">
        <v>5.9</v>
      </c>
      <c r="J106" t="n">
        <v>0</v>
      </c>
      <c r="K106" t="n">
        <v>0</v>
      </c>
      <c r="L106" t="n">
        <v>0</v>
      </c>
      <c r="M106" t="n">
        <v>0</v>
      </c>
      <c r="N106" t="n">
        <v>0</v>
      </c>
      <c r="O106" t="n">
        <v>0</v>
      </c>
      <c r="P106" t="n">
        <v>0</v>
      </c>
      <c r="Q106" t="n">
        <v>0</v>
      </c>
      <c r="R106" t="n">
        <v>0</v>
      </c>
      <c r="S106" t="n">
        <v>0</v>
      </c>
      <c r="T106" t="n">
        <v>0</v>
      </c>
      <c r="U106" s="2" t="inlineStr"/>
    </row>
    <row r="107" ht="15" customHeight="1">
      <c r="A107" t="inlineStr">
        <is>
          <t>A 13454-2022</t>
        </is>
      </c>
      <c r="B107" t="inlineStr">
        <is>
          <t>avverkningsanmälan</t>
        </is>
      </c>
      <c r="C107" t="inlineStr">
        <is>
          <t>Föryngringsavverkning</t>
        </is>
      </c>
      <c r="D107" s="1" t="n">
        <v>44645</v>
      </c>
      <c r="E107" s="1" t="n">
        <v>46220</v>
      </c>
      <c r="F107" t="inlineStr">
        <is>
          <t>ÖREBRO LÄN</t>
        </is>
      </c>
      <c r="G107" t="inlineStr">
        <is>
          <t>KARLSKOGA</t>
        </is>
      </c>
      <c r="I107" t="n">
        <v>1.7</v>
      </c>
      <c r="J107" t="n">
        <v>0</v>
      </c>
      <c r="K107" t="n">
        <v>0</v>
      </c>
      <c r="L107" t="n">
        <v>0</v>
      </c>
      <c r="M107" t="n">
        <v>0</v>
      </c>
      <c r="N107" t="n">
        <v>0</v>
      </c>
      <c r="O107" t="n">
        <v>0</v>
      </c>
      <c r="P107" t="n">
        <v>0</v>
      </c>
      <c r="Q107" t="n">
        <v>0</v>
      </c>
      <c r="R107" t="n">
        <v>0</v>
      </c>
      <c r="S107" t="n">
        <v>0</v>
      </c>
      <c r="T107" t="n">
        <v>0</v>
      </c>
      <c r="U107" s="2" t="inlineStr"/>
    </row>
    <row r="108" ht="15" customHeight="1">
      <c r="A108" t="inlineStr">
        <is>
          <t>A 9917-2026</t>
        </is>
      </c>
      <c r="B108" t="inlineStr">
        <is>
          <t>avverkningsanmälan</t>
        </is>
      </c>
      <c r="C108" t="inlineStr">
        <is>
          <t>Föryngringsavverkning</t>
        </is>
      </c>
      <c r="D108" s="1" t="n">
        <v>46073</v>
      </c>
      <c r="E108" s="1" t="n">
        <v>46220</v>
      </c>
      <c r="F108" t="inlineStr">
        <is>
          <t>ÖREBRO LÄN</t>
        </is>
      </c>
      <c r="G108" t="inlineStr">
        <is>
          <t>KARLSKOGA</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64066-2025</t>
        </is>
      </c>
      <c r="B109" t="inlineStr">
        <is>
          <t>avverkningsanmälan</t>
        </is>
      </c>
      <c r="C109" t="inlineStr">
        <is>
          <t>Avverkning för annat ändamål</t>
        </is>
      </c>
      <c r="D109" s="1" t="n">
        <v>46013</v>
      </c>
      <c r="E109" s="1" t="n">
        <v>46220</v>
      </c>
      <c r="F109" t="inlineStr">
        <is>
          <t>ÖREBRO LÄN</t>
        </is>
      </c>
      <c r="G109" t="inlineStr">
        <is>
          <t>KARLSKOGA</t>
        </is>
      </c>
      <c r="I109" t="n">
        <v>1.9</v>
      </c>
      <c r="J109" t="n">
        <v>0</v>
      </c>
      <c r="K109" t="n">
        <v>0</v>
      </c>
      <c r="L109" t="n">
        <v>0</v>
      </c>
      <c r="M109" t="n">
        <v>0</v>
      </c>
      <c r="N109" t="n">
        <v>0</v>
      </c>
      <c r="O109" t="n">
        <v>0</v>
      </c>
      <c r="P109" t="n">
        <v>0</v>
      </c>
      <c r="Q109" t="n">
        <v>0</v>
      </c>
      <c r="R109" t="n">
        <v>0</v>
      </c>
      <c r="S109" t="n">
        <v>0</v>
      </c>
      <c r="T109" t="n">
        <v>0</v>
      </c>
      <c r="U109" s="2" t="inlineStr"/>
    </row>
    <row r="110" ht="15" customHeight="1">
      <c r="A110" t="inlineStr">
        <is>
          <t>A 63628-2025</t>
        </is>
      </c>
      <c r="B110" t="inlineStr">
        <is>
          <t>avverkningsanmälan</t>
        </is>
      </c>
      <c r="C110" t="inlineStr">
        <is>
          <t>Föryngringsavverkning</t>
        </is>
      </c>
      <c r="D110" s="1" t="n">
        <v>46014</v>
      </c>
      <c r="E110" s="1" t="n">
        <v>46220</v>
      </c>
      <c r="F110" t="inlineStr">
        <is>
          <t>ÖREBRO LÄN</t>
        </is>
      </c>
      <c r="G110" t="inlineStr">
        <is>
          <t>KARLSKOGA</t>
        </is>
      </c>
      <c r="I110" t="n">
        <v>3.8</v>
      </c>
      <c r="J110" t="n">
        <v>0</v>
      </c>
      <c r="K110" t="n">
        <v>0</v>
      </c>
      <c r="L110" t="n">
        <v>0</v>
      </c>
      <c r="M110" t="n">
        <v>0</v>
      </c>
      <c r="N110" t="n">
        <v>0</v>
      </c>
      <c r="O110" t="n">
        <v>0</v>
      </c>
      <c r="P110" t="n">
        <v>0</v>
      </c>
      <c r="Q110" t="n">
        <v>0</v>
      </c>
      <c r="R110" t="n">
        <v>0</v>
      </c>
      <c r="S110" t="n">
        <v>0</v>
      </c>
      <c r="T110" t="n">
        <v>0</v>
      </c>
      <c r="U110" s="2" t="inlineStr"/>
    </row>
    <row r="111" ht="15" customHeight="1">
      <c r="A111" t="inlineStr">
        <is>
          <t>A 53618-2024</t>
        </is>
      </c>
      <c r="B111" t="inlineStr">
        <is>
          <t>avverkningsanmälan</t>
        </is>
      </c>
      <c r="C111" t="inlineStr">
        <is>
          <t>Föryngringsavverkning</t>
        </is>
      </c>
      <c r="D111" s="1" t="n">
        <v>45614</v>
      </c>
      <c r="E111" s="1" t="n">
        <v>46220</v>
      </c>
      <c r="F111" t="inlineStr">
        <is>
          <t>ÖREBRO LÄN</t>
        </is>
      </c>
      <c r="G111" t="inlineStr">
        <is>
          <t>KARLSKOGA</t>
        </is>
      </c>
      <c r="I111" t="n">
        <v>10.1</v>
      </c>
      <c r="J111" t="n">
        <v>0</v>
      </c>
      <c r="K111" t="n">
        <v>0</v>
      </c>
      <c r="L111" t="n">
        <v>0</v>
      </c>
      <c r="M111" t="n">
        <v>0</v>
      </c>
      <c r="N111" t="n">
        <v>0</v>
      </c>
      <c r="O111" t="n">
        <v>0</v>
      </c>
      <c r="P111" t="n">
        <v>0</v>
      </c>
      <c r="Q111" t="n">
        <v>0</v>
      </c>
      <c r="R111" t="n">
        <v>0</v>
      </c>
      <c r="S111" t="n">
        <v>0</v>
      </c>
      <c r="T111" t="n">
        <v>0</v>
      </c>
      <c r="U111" s="2" t="inlineStr"/>
    </row>
    <row r="112" ht="15" customHeight="1">
      <c r="A112" t="inlineStr">
        <is>
          <t>A 30961-2022</t>
        </is>
      </c>
      <c r="B112" t="inlineStr">
        <is>
          <t>avverkningsanmälan</t>
        </is>
      </c>
      <c r="C112" t="inlineStr">
        <is>
          <t>Föryngringsavverkning</t>
        </is>
      </c>
      <c r="D112" s="1" t="n">
        <v>44768</v>
      </c>
      <c r="E112" s="1" t="n">
        <v>46220</v>
      </c>
      <c r="F112" t="inlineStr">
        <is>
          <t>ÖREBRO LÄN</t>
        </is>
      </c>
      <c r="G112" t="inlineStr">
        <is>
          <t>KARLSKOGA</t>
        </is>
      </c>
      <c r="H112" t="inlineStr">
        <is>
          <t>Kommuner</t>
        </is>
      </c>
      <c r="I112" t="n">
        <v>3.3</v>
      </c>
      <c r="J112" t="n">
        <v>0</v>
      </c>
      <c r="K112" t="n">
        <v>0</v>
      </c>
      <c r="L112" t="n">
        <v>0</v>
      </c>
      <c r="M112" t="n">
        <v>0</v>
      </c>
      <c r="N112" t="n">
        <v>0</v>
      </c>
      <c r="O112" t="n">
        <v>0</v>
      </c>
      <c r="P112" t="n">
        <v>0</v>
      </c>
      <c r="Q112" t="n">
        <v>0</v>
      </c>
      <c r="R112" t="n">
        <v>0</v>
      </c>
      <c r="S112" t="n">
        <v>0</v>
      </c>
      <c r="T112" t="n">
        <v>0</v>
      </c>
      <c r="U112" s="2" t="inlineStr"/>
    </row>
    <row r="113" ht="15" customHeight="1">
      <c r="A113" t="inlineStr">
        <is>
          <t>A 42803-2023</t>
        </is>
      </c>
      <c r="B113" t="inlineStr">
        <is>
          <t>avverkningsanmälan</t>
        </is>
      </c>
      <c r="C113" t="inlineStr">
        <is>
          <t>Avverkning för att bevara och utveckla /försöksver</t>
        </is>
      </c>
      <c r="D113" s="1" t="n">
        <v>45182</v>
      </c>
      <c r="E113" s="1" t="n">
        <v>46220</v>
      </c>
      <c r="F113" t="inlineStr">
        <is>
          <t>ÖREBRO LÄN</t>
        </is>
      </c>
      <c r="G113" t="inlineStr">
        <is>
          <t>KARLSKOGA</t>
        </is>
      </c>
      <c r="H113" t="inlineStr">
        <is>
          <t>Sveaskog</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8803-2025</t>
        </is>
      </c>
      <c r="B114" t="inlineStr">
        <is>
          <t>avverkningsanmälan</t>
        </is>
      </c>
      <c r="C114" t="inlineStr">
        <is>
          <t>Föryngringsavverkning</t>
        </is>
      </c>
      <c r="D114" s="1" t="n">
        <v>45712</v>
      </c>
      <c r="E114" s="1" t="n">
        <v>46220</v>
      </c>
      <c r="F114" t="inlineStr">
        <is>
          <t>ÖREBRO LÄN</t>
        </is>
      </c>
      <c r="G114" t="inlineStr">
        <is>
          <t>KARLSKOGA</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13473-2026</t>
        </is>
      </c>
      <c r="B115" t="inlineStr">
        <is>
          <t>avverkningsanmälan</t>
        </is>
      </c>
      <c r="C115" t="inlineStr">
        <is>
          <t>Föryngringsavverkning</t>
        </is>
      </c>
      <c r="D115" s="1" t="n">
        <v>46094</v>
      </c>
      <c r="E115" s="1" t="n">
        <v>46220</v>
      </c>
      <c r="F115" t="inlineStr">
        <is>
          <t>ÖREBRO LÄN</t>
        </is>
      </c>
      <c r="G115" t="inlineStr">
        <is>
          <t>KARLSKOGA</t>
        </is>
      </c>
      <c r="I115" t="n">
        <v>1</v>
      </c>
      <c r="J115" t="n">
        <v>0</v>
      </c>
      <c r="K115" t="n">
        <v>0</v>
      </c>
      <c r="L115" t="n">
        <v>0</v>
      </c>
      <c r="M115" t="n">
        <v>0</v>
      </c>
      <c r="N115" t="n">
        <v>0</v>
      </c>
      <c r="O115" t="n">
        <v>0</v>
      </c>
      <c r="P115" t="n">
        <v>0</v>
      </c>
      <c r="Q115" t="n">
        <v>0</v>
      </c>
      <c r="R115" t="n">
        <v>0</v>
      </c>
      <c r="S115" t="n">
        <v>0</v>
      </c>
      <c r="T115" t="n">
        <v>0</v>
      </c>
      <c r="U115" s="2" t="inlineStr"/>
    </row>
    <row r="116" ht="15" customHeight="1">
      <c r="A116" t="inlineStr">
        <is>
          <t>A 56313-2024</t>
        </is>
      </c>
      <c r="B116" t="inlineStr">
        <is>
          <t>avverkningsanmälan</t>
        </is>
      </c>
      <c r="C116" t="inlineStr">
        <is>
          <t>Föryngringsavverkning</t>
        </is>
      </c>
      <c r="D116" s="1" t="n">
        <v>45624</v>
      </c>
      <c r="E116" s="1" t="n">
        <v>46220</v>
      </c>
      <c r="F116" t="inlineStr">
        <is>
          <t>ÖREBRO LÄN</t>
        </is>
      </c>
      <c r="G116" t="inlineStr">
        <is>
          <t>KARLSKOGA</t>
        </is>
      </c>
      <c r="H116" t="inlineStr">
        <is>
          <t>Kyrkan</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10743-2023</t>
        </is>
      </c>
      <c r="B117" t="inlineStr">
        <is>
          <t>avverkningsanmälan</t>
        </is>
      </c>
      <c r="C117" t="inlineStr">
        <is>
          <t>Föryngringsavverkning</t>
        </is>
      </c>
      <c r="D117" s="1" t="n">
        <v>44988</v>
      </c>
      <c r="E117" s="1" t="n">
        <v>46220</v>
      </c>
      <c r="F117" t="inlineStr">
        <is>
          <t>ÖREBRO LÄN</t>
        </is>
      </c>
      <c r="G117" t="inlineStr">
        <is>
          <t>KARLSKOGA</t>
        </is>
      </c>
      <c r="H117" t="inlineStr">
        <is>
          <t>Kyrkan</t>
        </is>
      </c>
      <c r="I117" t="n">
        <v>2.4</v>
      </c>
      <c r="J117" t="n">
        <v>0</v>
      </c>
      <c r="K117" t="n">
        <v>0</v>
      </c>
      <c r="L117" t="n">
        <v>0</v>
      </c>
      <c r="M117" t="n">
        <v>0</v>
      </c>
      <c r="N117" t="n">
        <v>0</v>
      </c>
      <c r="O117" t="n">
        <v>0</v>
      </c>
      <c r="P117" t="n">
        <v>0</v>
      </c>
      <c r="Q117" t="n">
        <v>0</v>
      </c>
      <c r="R117" t="n">
        <v>0</v>
      </c>
      <c r="S117" t="n">
        <v>0</v>
      </c>
      <c r="T117" t="n">
        <v>0</v>
      </c>
      <c r="U117" s="2" t="inlineStr"/>
    </row>
    <row r="118" ht="15" customHeight="1">
      <c r="A118" t="inlineStr">
        <is>
          <t>A 14215-2024</t>
        </is>
      </c>
      <c r="B118" t="inlineStr">
        <is>
          <t>avverkningsanmälan</t>
        </is>
      </c>
      <c r="C118" t="inlineStr">
        <is>
          <t>Föryngringsavverkning</t>
        </is>
      </c>
      <c r="D118" s="1" t="n">
        <v>45393</v>
      </c>
      <c r="E118" s="1" t="n">
        <v>46220</v>
      </c>
      <c r="F118" t="inlineStr">
        <is>
          <t>ÖREBRO LÄN</t>
        </is>
      </c>
      <c r="G118" t="inlineStr">
        <is>
          <t>KARLSKOGA</t>
        </is>
      </c>
      <c r="H118" t="inlineStr">
        <is>
          <t>Kommuner</t>
        </is>
      </c>
      <c r="I118" t="n">
        <v>4.2</v>
      </c>
      <c r="J118" t="n">
        <v>0</v>
      </c>
      <c r="K118" t="n">
        <v>0</v>
      </c>
      <c r="L118" t="n">
        <v>0</v>
      </c>
      <c r="M118" t="n">
        <v>0</v>
      </c>
      <c r="N118" t="n">
        <v>0</v>
      </c>
      <c r="O118" t="n">
        <v>0</v>
      </c>
      <c r="P118" t="n">
        <v>0</v>
      </c>
      <c r="Q118" t="n">
        <v>0</v>
      </c>
      <c r="R118" t="n">
        <v>0</v>
      </c>
      <c r="S118" t="n">
        <v>0</v>
      </c>
      <c r="T118" t="n">
        <v>0</v>
      </c>
      <c r="U118" s="2" t="inlineStr"/>
    </row>
    <row r="119" ht="15" customHeight="1">
      <c r="A119" t="inlineStr">
        <is>
          <t>A 55191-2023</t>
        </is>
      </c>
      <c r="B119" t="inlineStr">
        <is>
          <t>avverkningsanmälan</t>
        </is>
      </c>
      <c r="C119" t="inlineStr">
        <is>
          <t>Föryngringsavverkning</t>
        </is>
      </c>
      <c r="D119" s="1" t="n">
        <v>45237</v>
      </c>
      <c r="E119" s="1" t="n">
        <v>46220</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12897-2026</t>
        </is>
      </c>
      <c r="B120" t="inlineStr">
        <is>
          <t>avverkningsanmälan</t>
        </is>
      </c>
      <c r="C120" t="inlineStr">
        <is>
          <t>Föryngringsavverkning</t>
        </is>
      </c>
      <c r="D120" s="1" t="n">
        <v>46092</v>
      </c>
      <c r="E120" s="1" t="n">
        <v>46220</v>
      </c>
      <c r="F120" t="inlineStr">
        <is>
          <t>ÖREBRO LÄN</t>
        </is>
      </c>
      <c r="G120" t="inlineStr">
        <is>
          <t>KARLSKOGA</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14580-2026</t>
        </is>
      </c>
      <c r="B121" t="inlineStr">
        <is>
          <t>avverkningsanmälan</t>
        </is>
      </c>
      <c r="C121" t="inlineStr">
        <is>
          <t>Föryngringsavverkning</t>
        </is>
      </c>
      <c r="D121" s="1" t="n">
        <v>46101</v>
      </c>
      <c r="E121" s="1" t="n">
        <v>46220</v>
      </c>
      <c r="F121" t="inlineStr">
        <is>
          <t>ÖREBRO LÄN</t>
        </is>
      </c>
      <c r="G121" t="inlineStr">
        <is>
          <t>KARLSKOGA</t>
        </is>
      </c>
      <c r="H121" t="inlineStr">
        <is>
          <t>Sveaskog</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59025-2024</t>
        </is>
      </c>
      <c r="B122" t="inlineStr">
        <is>
          <t>avverkningsanmälan</t>
        </is>
      </c>
      <c r="C122" t="inlineStr">
        <is>
          <t>Föryngringsavverkning</t>
        </is>
      </c>
      <c r="D122" s="1" t="n">
        <v>45636</v>
      </c>
      <c r="E122" s="1" t="n">
        <v>46220</v>
      </c>
      <c r="F122" t="inlineStr">
        <is>
          <t>ÖREBRO LÄN</t>
        </is>
      </c>
      <c r="G122" t="inlineStr">
        <is>
          <t>KARLSKOGA</t>
        </is>
      </c>
      <c r="H122" t="inlineStr">
        <is>
          <t>Kyrkan</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17243-2024</t>
        </is>
      </c>
      <c r="B123" t="inlineStr">
        <is>
          <t>avverkningsanmälan</t>
        </is>
      </c>
      <c r="C123" t="inlineStr">
        <is>
          <t>Föryngringsavverkning</t>
        </is>
      </c>
      <c r="D123" s="1" t="n">
        <v>45414</v>
      </c>
      <c r="E123" s="1" t="n">
        <v>46220</v>
      </c>
      <c r="F123" t="inlineStr">
        <is>
          <t>ÖREBRO LÄN</t>
        </is>
      </c>
      <c r="G123" t="inlineStr">
        <is>
          <t>KARLSKOGA</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16783-2026</t>
        </is>
      </c>
      <c r="B124" t="inlineStr">
        <is>
          <t>avverkningsanmälan</t>
        </is>
      </c>
      <c r="C124" t="inlineStr">
        <is>
          <t>Föryngringsavverkning</t>
        </is>
      </c>
      <c r="D124" s="1" t="n">
        <v>46113</v>
      </c>
      <c r="E124" s="1" t="n">
        <v>46220</v>
      </c>
      <c r="F124" t="inlineStr">
        <is>
          <t>ÖREBRO LÄN</t>
        </is>
      </c>
      <c r="G124" t="inlineStr">
        <is>
          <t>KARLSKOGA</t>
        </is>
      </c>
      <c r="H124" t="inlineStr">
        <is>
          <t>Sveaskog</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16787-2026</t>
        </is>
      </c>
      <c r="B125" t="inlineStr">
        <is>
          <t>avverkningsanmälan</t>
        </is>
      </c>
      <c r="C125" t="inlineStr">
        <is>
          <t>Föryngringsavverkning</t>
        </is>
      </c>
      <c r="D125" s="1" t="n">
        <v>46113</v>
      </c>
      <c r="E125" s="1" t="n">
        <v>46220</v>
      </c>
      <c r="F125" t="inlineStr">
        <is>
          <t>ÖREBRO LÄN</t>
        </is>
      </c>
      <c r="G125" t="inlineStr">
        <is>
          <t>KARLSKOGA</t>
        </is>
      </c>
      <c r="H125" t="inlineStr">
        <is>
          <t>Sveaskog</t>
        </is>
      </c>
      <c r="I125" t="n">
        <v>2.8</v>
      </c>
      <c r="J125" t="n">
        <v>0</v>
      </c>
      <c r="K125" t="n">
        <v>0</v>
      </c>
      <c r="L125" t="n">
        <v>0</v>
      </c>
      <c r="M125" t="n">
        <v>0</v>
      </c>
      <c r="N125" t="n">
        <v>0</v>
      </c>
      <c r="O125" t="n">
        <v>0</v>
      </c>
      <c r="P125" t="n">
        <v>0</v>
      </c>
      <c r="Q125" t="n">
        <v>0</v>
      </c>
      <c r="R125" t="n">
        <v>0</v>
      </c>
      <c r="S125" t="n">
        <v>0</v>
      </c>
      <c r="T125" t="n">
        <v>0</v>
      </c>
      <c r="U125" s="2" t="inlineStr"/>
    </row>
    <row r="126" ht="15" customHeight="1">
      <c r="A126" t="inlineStr">
        <is>
          <t>A 16782-2026</t>
        </is>
      </c>
      <c r="B126" t="inlineStr">
        <is>
          <t>avverkningsanmälan</t>
        </is>
      </c>
      <c r="C126" t="inlineStr">
        <is>
          <t>Föryngringsavverkning</t>
        </is>
      </c>
      <c r="D126" s="1" t="n">
        <v>46113</v>
      </c>
      <c r="E126" s="1" t="n">
        <v>46220</v>
      </c>
      <c r="F126" t="inlineStr">
        <is>
          <t>ÖREBRO LÄN</t>
        </is>
      </c>
      <c r="G126" t="inlineStr">
        <is>
          <t>KARLSKOGA</t>
        </is>
      </c>
      <c r="H126" t="inlineStr">
        <is>
          <t>Sveaskog</t>
        </is>
      </c>
      <c r="I126" t="n">
        <v>2.6</v>
      </c>
      <c r="J126" t="n">
        <v>0</v>
      </c>
      <c r="K126" t="n">
        <v>0</v>
      </c>
      <c r="L126" t="n">
        <v>0</v>
      </c>
      <c r="M126" t="n">
        <v>0</v>
      </c>
      <c r="N126" t="n">
        <v>0</v>
      </c>
      <c r="O126" t="n">
        <v>0</v>
      </c>
      <c r="P126" t="n">
        <v>0</v>
      </c>
      <c r="Q126" t="n">
        <v>0</v>
      </c>
      <c r="R126" t="n">
        <v>0</v>
      </c>
      <c r="S126" t="n">
        <v>0</v>
      </c>
      <c r="T126" t="n">
        <v>0</v>
      </c>
      <c r="U126" s="2" t="inlineStr"/>
    </row>
    <row r="127" ht="15" customHeight="1">
      <c r="A127" t="inlineStr">
        <is>
          <t>A 15062-2026</t>
        </is>
      </c>
      <c r="B127" t="inlineStr">
        <is>
          <t>avverkningsanmälan</t>
        </is>
      </c>
      <c r="C127" t="inlineStr">
        <is>
          <t>Föryngringsavverkning</t>
        </is>
      </c>
      <c r="D127" s="1" t="n">
        <v>46104</v>
      </c>
      <c r="E127" s="1" t="n">
        <v>46220</v>
      </c>
      <c r="F127" t="inlineStr">
        <is>
          <t>ÖREBRO LÄN</t>
        </is>
      </c>
      <c r="G127" t="inlineStr">
        <is>
          <t>KARLSKOGA</t>
        </is>
      </c>
      <c r="I127" t="n">
        <v>6.1</v>
      </c>
      <c r="J127" t="n">
        <v>0</v>
      </c>
      <c r="K127" t="n">
        <v>0</v>
      </c>
      <c r="L127" t="n">
        <v>0</v>
      </c>
      <c r="M127" t="n">
        <v>0</v>
      </c>
      <c r="N127" t="n">
        <v>0</v>
      </c>
      <c r="O127" t="n">
        <v>0</v>
      </c>
      <c r="P127" t="n">
        <v>0</v>
      </c>
      <c r="Q127" t="n">
        <v>0</v>
      </c>
      <c r="R127" t="n">
        <v>0</v>
      </c>
      <c r="S127" t="n">
        <v>0</v>
      </c>
      <c r="T127" t="n">
        <v>0</v>
      </c>
      <c r="U127" s="2" t="inlineStr"/>
    </row>
    <row r="128" ht="15" customHeight="1">
      <c r="A128" t="inlineStr">
        <is>
          <t>A 17299-2026</t>
        </is>
      </c>
      <c r="B128" t="inlineStr">
        <is>
          <t>avverkningsanmälan</t>
        </is>
      </c>
      <c r="C128" t="inlineStr">
        <is>
          <t>Föryngringsavverkning</t>
        </is>
      </c>
      <c r="D128" s="1" t="n">
        <v>46119</v>
      </c>
      <c r="E128" s="1" t="n">
        <v>46220</v>
      </c>
      <c r="F128" t="inlineStr">
        <is>
          <t>ÖREBRO LÄN</t>
        </is>
      </c>
      <c r="G128" t="inlineStr">
        <is>
          <t>KARLSKOGA</t>
        </is>
      </c>
      <c r="H128" t="inlineStr">
        <is>
          <t>Övriga Aktiebolag</t>
        </is>
      </c>
      <c r="I128" t="n">
        <v>3.4</v>
      </c>
      <c r="J128" t="n">
        <v>0</v>
      </c>
      <c r="K128" t="n">
        <v>0</v>
      </c>
      <c r="L128" t="n">
        <v>0</v>
      </c>
      <c r="M128" t="n">
        <v>0</v>
      </c>
      <c r="N128" t="n">
        <v>0</v>
      </c>
      <c r="O128" t="n">
        <v>0</v>
      </c>
      <c r="P128" t="n">
        <v>0</v>
      </c>
      <c r="Q128" t="n">
        <v>0</v>
      </c>
      <c r="R128" t="n">
        <v>0</v>
      </c>
      <c r="S128" t="n">
        <v>0</v>
      </c>
      <c r="T128" t="n">
        <v>0</v>
      </c>
      <c r="U128" s="2" t="inlineStr"/>
    </row>
    <row r="129" ht="15" customHeight="1">
      <c r="A129" t="inlineStr">
        <is>
          <t>A 15058-2026</t>
        </is>
      </c>
      <c r="B129" t="inlineStr">
        <is>
          <t>avverkningsanmälan</t>
        </is>
      </c>
      <c r="C129" t="inlineStr">
        <is>
          <t>Föryngringsavverkning</t>
        </is>
      </c>
      <c r="D129" s="1" t="n">
        <v>46104</v>
      </c>
      <c r="E129" s="1" t="n">
        <v>46220</v>
      </c>
      <c r="F129" t="inlineStr">
        <is>
          <t>ÖREBRO LÄN</t>
        </is>
      </c>
      <c r="G129" t="inlineStr">
        <is>
          <t>KARLSKOGA</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15061-2026</t>
        </is>
      </c>
      <c r="B130" t="inlineStr">
        <is>
          <t>avverkningsanmälan</t>
        </is>
      </c>
      <c r="C130" t="inlineStr">
        <is>
          <t>Föryngringsavverkning</t>
        </is>
      </c>
      <c r="D130" s="1" t="n">
        <v>46104</v>
      </c>
      <c r="E130" s="1" t="n">
        <v>46220</v>
      </c>
      <c r="F130" t="inlineStr">
        <is>
          <t>ÖREBRO LÄN</t>
        </is>
      </c>
      <c r="G130" t="inlineStr">
        <is>
          <t>KARLSKOGA</t>
        </is>
      </c>
      <c r="I130" t="n">
        <v>6</v>
      </c>
      <c r="J130" t="n">
        <v>0</v>
      </c>
      <c r="K130" t="n">
        <v>0</v>
      </c>
      <c r="L130" t="n">
        <v>0</v>
      </c>
      <c r="M130" t="n">
        <v>0</v>
      </c>
      <c r="N130" t="n">
        <v>0</v>
      </c>
      <c r="O130" t="n">
        <v>0</v>
      </c>
      <c r="P130" t="n">
        <v>0</v>
      </c>
      <c r="Q130" t="n">
        <v>0</v>
      </c>
      <c r="R130" t="n">
        <v>0</v>
      </c>
      <c r="S130" t="n">
        <v>0</v>
      </c>
      <c r="T130" t="n">
        <v>0</v>
      </c>
      <c r="U130" s="2" t="inlineStr"/>
    </row>
    <row r="131" ht="15" customHeight="1">
      <c r="A131" t="inlineStr">
        <is>
          <t>A 17261-2026</t>
        </is>
      </c>
      <c r="B131" t="inlineStr">
        <is>
          <t>avverkningsanmälan</t>
        </is>
      </c>
      <c r="C131" t="inlineStr">
        <is>
          <t>Föryngringsavverkning</t>
        </is>
      </c>
      <c r="D131" s="1" t="n">
        <v>46119</v>
      </c>
      <c r="E131" s="1" t="n">
        <v>46220</v>
      </c>
      <c r="F131" t="inlineStr">
        <is>
          <t>ÖREBRO LÄN</t>
        </is>
      </c>
      <c r="G131" t="inlineStr">
        <is>
          <t>KARLSKOGA</t>
        </is>
      </c>
      <c r="H131" t="inlineStr">
        <is>
          <t>Övriga Aktiebolag</t>
        </is>
      </c>
      <c r="I131" t="n">
        <v>6.8</v>
      </c>
      <c r="J131" t="n">
        <v>0</v>
      </c>
      <c r="K131" t="n">
        <v>0</v>
      </c>
      <c r="L131" t="n">
        <v>0</v>
      </c>
      <c r="M131" t="n">
        <v>0</v>
      </c>
      <c r="N131" t="n">
        <v>0</v>
      </c>
      <c r="O131" t="n">
        <v>0</v>
      </c>
      <c r="P131" t="n">
        <v>0</v>
      </c>
      <c r="Q131" t="n">
        <v>0</v>
      </c>
      <c r="R131" t="n">
        <v>0</v>
      </c>
      <c r="S131" t="n">
        <v>0</v>
      </c>
      <c r="T131" t="n">
        <v>0</v>
      </c>
      <c r="U131" s="2" t="inlineStr"/>
    </row>
    <row r="132" ht="15" customHeight="1">
      <c r="A132" t="inlineStr">
        <is>
          <t>A 15060-2026</t>
        </is>
      </c>
      <c r="B132" t="inlineStr">
        <is>
          <t>avverkningsanmälan</t>
        </is>
      </c>
      <c r="C132" t="inlineStr">
        <is>
          <t>Föryngringsavverkning</t>
        </is>
      </c>
      <c r="D132" s="1" t="n">
        <v>46104</v>
      </c>
      <c r="E132" s="1" t="n">
        <v>46220</v>
      </c>
      <c r="F132" t="inlineStr">
        <is>
          <t>ÖREBRO LÄN</t>
        </is>
      </c>
      <c r="G132" t="inlineStr">
        <is>
          <t>KARLSKOGA</t>
        </is>
      </c>
      <c r="I132" t="n">
        <v>11.5</v>
      </c>
      <c r="J132" t="n">
        <v>0</v>
      </c>
      <c r="K132" t="n">
        <v>0</v>
      </c>
      <c r="L132" t="n">
        <v>0</v>
      </c>
      <c r="M132" t="n">
        <v>0</v>
      </c>
      <c r="N132" t="n">
        <v>0</v>
      </c>
      <c r="O132" t="n">
        <v>0</v>
      </c>
      <c r="P132" t="n">
        <v>0</v>
      </c>
      <c r="Q132" t="n">
        <v>0</v>
      </c>
      <c r="R132" t="n">
        <v>0</v>
      </c>
      <c r="S132" t="n">
        <v>0</v>
      </c>
      <c r="T132" t="n">
        <v>0</v>
      </c>
      <c r="U132" s="2" t="inlineStr"/>
    </row>
    <row r="133" ht="15" customHeight="1">
      <c r="A133" t="inlineStr">
        <is>
          <t>A 17734-2026</t>
        </is>
      </c>
      <c r="B133" t="inlineStr">
        <is>
          <t>avverkningsanmälan</t>
        </is>
      </c>
      <c r="C133" t="inlineStr">
        <is>
          <t>Föryngringsavverkning</t>
        </is>
      </c>
      <c r="D133" s="1" t="n">
        <v>46122</v>
      </c>
      <c r="E133" s="1" t="n">
        <v>46220</v>
      </c>
      <c r="F133" t="inlineStr">
        <is>
          <t>ÖREBRO LÄN</t>
        </is>
      </c>
      <c r="G133" t="inlineStr">
        <is>
          <t>KARLSKOGA</t>
        </is>
      </c>
      <c r="H133" t="inlineStr">
        <is>
          <t>Sveaskog</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35060-2024</t>
        </is>
      </c>
      <c r="B134" t="inlineStr">
        <is>
          <t>avverkningsanmälan</t>
        </is>
      </c>
      <c r="C134" t="inlineStr">
        <is>
          <t>Föryngringsavverkning</t>
        </is>
      </c>
      <c r="D134" s="1" t="n">
        <v>45527</v>
      </c>
      <c r="E134" s="1" t="n">
        <v>46220</v>
      </c>
      <c r="F134" t="inlineStr">
        <is>
          <t>ÖREBRO LÄN</t>
        </is>
      </c>
      <c r="G134" t="inlineStr">
        <is>
          <t>KARLSKOGA</t>
        </is>
      </c>
      <c r="H134" t="inlineStr">
        <is>
          <t>Kyrkan</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19009-2026</t>
        </is>
      </c>
      <c r="B135" t="inlineStr">
        <is>
          <t>avverkningsanmälan</t>
        </is>
      </c>
      <c r="C135" t="inlineStr">
        <is>
          <t>Föryngringsavverkning</t>
        </is>
      </c>
      <c r="D135" s="1" t="n">
        <v>46130</v>
      </c>
      <c r="E135" s="1" t="n">
        <v>46220</v>
      </c>
      <c r="F135" t="inlineStr">
        <is>
          <t>ÖREBRO LÄN</t>
        </is>
      </c>
      <c r="G135" t="inlineStr">
        <is>
          <t>KARLSKOGA</t>
        </is>
      </c>
      <c r="H135" t="inlineStr">
        <is>
          <t>Sveaskog</t>
        </is>
      </c>
      <c r="I135" t="n">
        <v>6.3</v>
      </c>
      <c r="J135" t="n">
        <v>0</v>
      </c>
      <c r="K135" t="n">
        <v>0</v>
      </c>
      <c r="L135" t="n">
        <v>0</v>
      </c>
      <c r="M135" t="n">
        <v>0</v>
      </c>
      <c r="N135" t="n">
        <v>0</v>
      </c>
      <c r="O135" t="n">
        <v>0</v>
      </c>
      <c r="P135" t="n">
        <v>0</v>
      </c>
      <c r="Q135" t="n">
        <v>0</v>
      </c>
      <c r="R135" t="n">
        <v>0</v>
      </c>
      <c r="S135" t="n">
        <v>0</v>
      </c>
      <c r="T135" t="n">
        <v>0</v>
      </c>
      <c r="U135" s="2" t="inlineStr"/>
    </row>
    <row r="136" ht="15" customHeight="1">
      <c r="A136" t="inlineStr">
        <is>
          <t>A 52826-2024</t>
        </is>
      </c>
      <c r="B136" t="inlineStr">
        <is>
          <t>avverkningsanmälan</t>
        </is>
      </c>
      <c r="C136" t="inlineStr">
        <is>
          <t>Föryngringsavverkning</t>
        </is>
      </c>
      <c r="D136" s="1" t="n">
        <v>45610</v>
      </c>
      <c r="E136" s="1" t="n">
        <v>46220</v>
      </c>
      <c r="F136" t="inlineStr">
        <is>
          <t>ÖREBRO LÄN</t>
        </is>
      </c>
      <c r="G136" t="inlineStr">
        <is>
          <t>KARLSKOGA</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52829-2024</t>
        </is>
      </c>
      <c r="B137" t="inlineStr">
        <is>
          <t>avverkningsanmälan</t>
        </is>
      </c>
      <c r="C137" t="inlineStr">
        <is>
          <t>Föryngringsavverkning</t>
        </is>
      </c>
      <c r="D137" s="1" t="n">
        <v>45610</v>
      </c>
      <c r="E137" s="1" t="n">
        <v>46220</v>
      </c>
      <c r="F137" t="inlineStr">
        <is>
          <t>ÖREBRO LÄN</t>
        </is>
      </c>
      <c r="G137" t="inlineStr">
        <is>
          <t>KARLSKOGA</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19011-2026</t>
        </is>
      </c>
      <c r="B138" t="inlineStr">
        <is>
          <t>avverkningsanmälan</t>
        </is>
      </c>
      <c r="C138" t="inlineStr">
        <is>
          <t>Föryngringsavverkning</t>
        </is>
      </c>
      <c r="D138" s="1" t="n">
        <v>46130</v>
      </c>
      <c r="E138" s="1" t="n">
        <v>46220</v>
      </c>
      <c r="F138" t="inlineStr">
        <is>
          <t>ÖREBRO LÄN</t>
        </is>
      </c>
      <c r="G138" t="inlineStr">
        <is>
          <t>KARLSKOGA</t>
        </is>
      </c>
      <c r="H138" t="inlineStr">
        <is>
          <t>Sveaskog</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19010-2026</t>
        </is>
      </c>
      <c r="B139" t="inlineStr">
        <is>
          <t>avverkningsanmälan</t>
        </is>
      </c>
      <c r="C139" t="inlineStr">
        <is>
          <t>Föryngringsavverkning</t>
        </is>
      </c>
      <c r="D139" s="1" t="n">
        <v>46130</v>
      </c>
      <c r="E139" s="1" t="n">
        <v>46220</v>
      </c>
      <c r="F139" t="inlineStr">
        <is>
          <t>ÖREBRO LÄN</t>
        </is>
      </c>
      <c r="G139" t="inlineStr">
        <is>
          <t>KARLSKOGA</t>
        </is>
      </c>
      <c r="H139" t="inlineStr">
        <is>
          <t>Sveaskog</t>
        </is>
      </c>
      <c r="I139" t="n">
        <v>1.9</v>
      </c>
      <c r="J139" t="n">
        <v>0</v>
      </c>
      <c r="K139" t="n">
        <v>0</v>
      </c>
      <c r="L139" t="n">
        <v>0</v>
      </c>
      <c r="M139" t="n">
        <v>0</v>
      </c>
      <c r="N139" t="n">
        <v>0</v>
      </c>
      <c r="O139" t="n">
        <v>0</v>
      </c>
      <c r="P139" t="n">
        <v>0</v>
      </c>
      <c r="Q139" t="n">
        <v>0</v>
      </c>
      <c r="R139" t="n">
        <v>0</v>
      </c>
      <c r="S139" t="n">
        <v>0</v>
      </c>
      <c r="T139" t="n">
        <v>0</v>
      </c>
      <c r="U139" s="2" t="inlineStr"/>
    </row>
    <row r="140" ht="15" customHeight="1">
      <c r="A140" t="inlineStr">
        <is>
          <t>A 19008-2026</t>
        </is>
      </c>
      <c r="B140" t="inlineStr">
        <is>
          <t>avverkningsanmälan</t>
        </is>
      </c>
      <c r="C140" t="inlineStr">
        <is>
          <t>Föryngringsavverkning</t>
        </is>
      </c>
      <c r="D140" s="1" t="n">
        <v>46130</v>
      </c>
      <c r="E140" s="1" t="n">
        <v>46220</v>
      </c>
      <c r="F140" t="inlineStr">
        <is>
          <t>ÖREBRO LÄN</t>
        </is>
      </c>
      <c r="G140" t="inlineStr">
        <is>
          <t>KARLSKOGA</t>
        </is>
      </c>
      <c r="H140" t="inlineStr">
        <is>
          <t>Sveaskog</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19663-2026</t>
        </is>
      </c>
      <c r="B141" t="inlineStr">
        <is>
          <t>avverkningsanmälan</t>
        </is>
      </c>
      <c r="C141" t="inlineStr">
        <is>
          <t>Föryngringsavverkning</t>
        </is>
      </c>
      <c r="D141" s="1" t="n">
        <v>46134</v>
      </c>
      <c r="E141" s="1" t="n">
        <v>46220</v>
      </c>
      <c r="F141" t="inlineStr">
        <is>
          <t>ÖREBRO LÄN</t>
        </is>
      </c>
      <c r="G141" t="inlineStr">
        <is>
          <t>KARLSKOGA</t>
        </is>
      </c>
      <c r="H141" t="inlineStr">
        <is>
          <t>Sveaskog</t>
        </is>
      </c>
      <c r="I141" t="n">
        <v>1.6</v>
      </c>
      <c r="J141" t="n">
        <v>0</v>
      </c>
      <c r="K141" t="n">
        <v>0</v>
      </c>
      <c r="L141" t="n">
        <v>0</v>
      </c>
      <c r="M141" t="n">
        <v>0</v>
      </c>
      <c r="N141" t="n">
        <v>0</v>
      </c>
      <c r="O141" t="n">
        <v>0</v>
      </c>
      <c r="P141" t="n">
        <v>0</v>
      </c>
      <c r="Q141" t="n">
        <v>0</v>
      </c>
      <c r="R141" t="n">
        <v>0</v>
      </c>
      <c r="S141" t="n">
        <v>0</v>
      </c>
      <c r="T141" t="n">
        <v>0</v>
      </c>
      <c r="U141" s="2" t="inlineStr"/>
    </row>
    <row r="142" ht="15" customHeight="1">
      <c r="A142" t="inlineStr">
        <is>
          <t>A 11974-2025</t>
        </is>
      </c>
      <c r="B142" t="inlineStr">
        <is>
          <t>avverkningsanmälan</t>
        </is>
      </c>
      <c r="C142" t="inlineStr">
        <is>
          <t>Föryngringsavverkning</t>
        </is>
      </c>
      <c r="D142" s="1" t="n">
        <v>45728</v>
      </c>
      <c r="E142" s="1" t="n">
        <v>46220</v>
      </c>
      <c r="F142" t="inlineStr">
        <is>
          <t>ÖREBRO LÄN</t>
        </is>
      </c>
      <c r="G142" t="inlineStr">
        <is>
          <t>KARLSKOGA</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28474-2023</t>
        </is>
      </c>
      <c r="B143" t="inlineStr">
        <is>
          <t>avverkningsanmälan</t>
        </is>
      </c>
      <c r="C143" t="inlineStr">
        <is>
          <t>Föryngringsavverkning</t>
        </is>
      </c>
      <c r="D143" s="1" t="n">
        <v>45103</v>
      </c>
      <c r="E143" s="1" t="n">
        <v>46220</v>
      </c>
      <c r="F143" t="inlineStr">
        <is>
          <t>ÖREBRO LÄN</t>
        </is>
      </c>
      <c r="G143" t="inlineStr">
        <is>
          <t>KARLSKOGA</t>
        </is>
      </c>
      <c r="I143" t="n">
        <v>5.1</v>
      </c>
      <c r="J143" t="n">
        <v>0</v>
      </c>
      <c r="K143" t="n">
        <v>0</v>
      </c>
      <c r="L143" t="n">
        <v>0</v>
      </c>
      <c r="M143" t="n">
        <v>0</v>
      </c>
      <c r="N143" t="n">
        <v>0</v>
      </c>
      <c r="O143" t="n">
        <v>0</v>
      </c>
      <c r="P143" t="n">
        <v>0</v>
      </c>
      <c r="Q143" t="n">
        <v>0</v>
      </c>
      <c r="R143" t="n">
        <v>0</v>
      </c>
      <c r="S143" t="n">
        <v>0</v>
      </c>
      <c r="T143" t="n">
        <v>0</v>
      </c>
      <c r="U143" s="2" t="inlineStr"/>
    </row>
    <row r="144" ht="15" customHeight="1">
      <c r="A144" t="inlineStr">
        <is>
          <t>A 61271-2022</t>
        </is>
      </c>
      <c r="B144" t="inlineStr">
        <is>
          <t>avverkningsanmälan</t>
        </is>
      </c>
      <c r="C144" t="inlineStr">
        <is>
          <t>Föryngringsavverkning</t>
        </is>
      </c>
      <c r="D144" s="1" t="n">
        <v>44909</v>
      </c>
      <c r="E144" s="1" t="n">
        <v>46220</v>
      </c>
      <c r="F144" t="inlineStr">
        <is>
          <t>ÖREBRO LÄN</t>
        </is>
      </c>
      <c r="G144" t="inlineStr">
        <is>
          <t>KARLSKOGA</t>
        </is>
      </c>
      <c r="H144" t="inlineStr">
        <is>
          <t>Övriga Aktiebolag</t>
        </is>
      </c>
      <c r="I144" t="n">
        <v>14.1</v>
      </c>
      <c r="J144" t="n">
        <v>0</v>
      </c>
      <c r="K144" t="n">
        <v>0</v>
      </c>
      <c r="L144" t="n">
        <v>0</v>
      </c>
      <c r="M144" t="n">
        <v>0</v>
      </c>
      <c r="N144" t="n">
        <v>0</v>
      </c>
      <c r="O144" t="n">
        <v>0</v>
      </c>
      <c r="P144" t="n">
        <v>0</v>
      </c>
      <c r="Q144" t="n">
        <v>0</v>
      </c>
      <c r="R144" t="n">
        <v>0</v>
      </c>
      <c r="S144" t="n">
        <v>0</v>
      </c>
      <c r="T144" t="n">
        <v>0</v>
      </c>
      <c r="U144" s="2" t="inlineStr"/>
    </row>
    <row r="145" ht="15" customHeight="1">
      <c r="A145" t="inlineStr">
        <is>
          <t>A 48168-2024</t>
        </is>
      </c>
      <c r="B145" t="inlineStr">
        <is>
          <t>avverkningsanmälan</t>
        </is>
      </c>
      <c r="C145" t="inlineStr">
        <is>
          <t>Föryngringsavverkning</t>
        </is>
      </c>
      <c r="D145" s="1" t="n">
        <v>45589</v>
      </c>
      <c r="E145" s="1" t="n">
        <v>46220</v>
      </c>
      <c r="F145" t="inlineStr">
        <is>
          <t>ÖREBRO LÄN</t>
        </is>
      </c>
      <c r="G145" t="inlineStr">
        <is>
          <t>KARLSKOGA</t>
        </is>
      </c>
      <c r="I145" t="n">
        <v>5.5</v>
      </c>
      <c r="J145" t="n">
        <v>0</v>
      </c>
      <c r="K145" t="n">
        <v>0</v>
      </c>
      <c r="L145" t="n">
        <v>0</v>
      </c>
      <c r="M145" t="n">
        <v>0</v>
      </c>
      <c r="N145" t="n">
        <v>0</v>
      </c>
      <c r="O145" t="n">
        <v>0</v>
      </c>
      <c r="P145" t="n">
        <v>0</v>
      </c>
      <c r="Q145" t="n">
        <v>0</v>
      </c>
      <c r="R145" t="n">
        <v>0</v>
      </c>
      <c r="S145" t="n">
        <v>0</v>
      </c>
      <c r="T145" t="n">
        <v>0</v>
      </c>
      <c r="U145" s="2" t="inlineStr"/>
    </row>
    <row r="146" ht="15" customHeight="1">
      <c r="A146" t="inlineStr">
        <is>
          <t>A 18955-2025</t>
        </is>
      </c>
      <c r="B146" t="inlineStr">
        <is>
          <t>avverkningsanmälan</t>
        </is>
      </c>
      <c r="C146" t="inlineStr">
        <is>
          <t>Föryngringsavverkning</t>
        </is>
      </c>
      <c r="D146" s="1" t="n">
        <v>45764</v>
      </c>
      <c r="E146" s="1" t="n">
        <v>46220</v>
      </c>
      <c r="F146" t="inlineStr">
        <is>
          <t>ÖREBRO LÄN</t>
        </is>
      </c>
      <c r="G146" t="inlineStr">
        <is>
          <t>KARLSKOGA</t>
        </is>
      </c>
      <c r="I146" t="n">
        <v>8.1</v>
      </c>
      <c r="J146" t="n">
        <v>0</v>
      </c>
      <c r="K146" t="n">
        <v>0</v>
      </c>
      <c r="L146" t="n">
        <v>0</v>
      </c>
      <c r="M146" t="n">
        <v>0</v>
      </c>
      <c r="N146" t="n">
        <v>0</v>
      </c>
      <c r="O146" t="n">
        <v>0</v>
      </c>
      <c r="P146" t="n">
        <v>0</v>
      </c>
      <c r="Q146" t="n">
        <v>0</v>
      </c>
      <c r="R146" t="n">
        <v>0</v>
      </c>
      <c r="S146" t="n">
        <v>0</v>
      </c>
      <c r="T146" t="n">
        <v>0</v>
      </c>
      <c r="U146" s="2" t="inlineStr"/>
    </row>
    <row r="147" ht="15" customHeight="1">
      <c r="A147" t="inlineStr">
        <is>
          <t>A 50614-2024</t>
        </is>
      </c>
      <c r="B147" t="inlineStr">
        <is>
          <t>avverkningsanmälan</t>
        </is>
      </c>
      <c r="C147" t="inlineStr">
        <is>
          <t>Föryngringsavverkning</t>
        </is>
      </c>
      <c r="D147" s="1" t="n">
        <v>45601</v>
      </c>
      <c r="E147" s="1" t="n">
        <v>46220</v>
      </c>
      <c r="F147" t="inlineStr">
        <is>
          <t>ÖREBRO LÄN</t>
        </is>
      </c>
      <c r="G147" t="inlineStr">
        <is>
          <t>KARLSKOGA</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6835-2025</t>
        </is>
      </c>
      <c r="B148" t="inlineStr">
        <is>
          <t>avverkningsanmälan</t>
        </is>
      </c>
      <c r="C148" t="inlineStr">
        <is>
          <t>Föryngringsavverkning</t>
        </is>
      </c>
      <c r="D148" s="1" t="n">
        <v>45700</v>
      </c>
      <c r="E148" s="1" t="n">
        <v>46220</v>
      </c>
      <c r="F148" t="inlineStr">
        <is>
          <t>ÖREBRO LÄN</t>
        </is>
      </c>
      <c r="G148" t="inlineStr">
        <is>
          <t>KARLSKOGA</t>
        </is>
      </c>
      <c r="I148" t="n">
        <v>3</v>
      </c>
      <c r="J148" t="n">
        <v>0</v>
      </c>
      <c r="K148" t="n">
        <v>0</v>
      </c>
      <c r="L148" t="n">
        <v>0</v>
      </c>
      <c r="M148" t="n">
        <v>0</v>
      </c>
      <c r="N148" t="n">
        <v>0</v>
      </c>
      <c r="O148" t="n">
        <v>0</v>
      </c>
      <c r="P148" t="n">
        <v>0</v>
      </c>
      <c r="Q148" t="n">
        <v>0</v>
      </c>
      <c r="R148" t="n">
        <v>0</v>
      </c>
      <c r="S148" t="n">
        <v>0</v>
      </c>
      <c r="T148" t="n">
        <v>0</v>
      </c>
      <c r="U148" s="2" t="inlineStr"/>
    </row>
    <row r="149" ht="15" customHeight="1">
      <c r="A149" t="inlineStr">
        <is>
          <t>A 55182-2024</t>
        </is>
      </c>
      <c r="B149" t="inlineStr">
        <is>
          <t>avverkningsanmälan</t>
        </is>
      </c>
      <c r="C149" t="inlineStr">
        <is>
          <t>Föryngringsavverkning</t>
        </is>
      </c>
      <c r="D149" s="1" t="n">
        <v>45618</v>
      </c>
      <c r="E149" s="1" t="n">
        <v>46220</v>
      </c>
      <c r="F149" t="inlineStr">
        <is>
          <t>ÖREBRO LÄN</t>
        </is>
      </c>
      <c r="G149" t="inlineStr">
        <is>
          <t>KARLSKOGA</t>
        </is>
      </c>
      <c r="I149" t="n">
        <v>11.4</v>
      </c>
      <c r="J149" t="n">
        <v>0</v>
      </c>
      <c r="K149" t="n">
        <v>0</v>
      </c>
      <c r="L149" t="n">
        <v>0</v>
      </c>
      <c r="M149" t="n">
        <v>0</v>
      </c>
      <c r="N149" t="n">
        <v>0</v>
      </c>
      <c r="O149" t="n">
        <v>0</v>
      </c>
      <c r="P149" t="n">
        <v>0</v>
      </c>
      <c r="Q149" t="n">
        <v>0</v>
      </c>
      <c r="R149" t="n">
        <v>0</v>
      </c>
      <c r="S149" t="n">
        <v>0</v>
      </c>
      <c r="T149" t="n">
        <v>0</v>
      </c>
      <c r="U149" s="2" t="inlineStr"/>
    </row>
    <row r="150" ht="15" customHeight="1">
      <c r="A150" t="inlineStr">
        <is>
          <t>A 4058-2022</t>
        </is>
      </c>
      <c r="B150" t="inlineStr">
        <is>
          <t>avverkningsanmälan</t>
        </is>
      </c>
      <c r="C150" t="inlineStr">
        <is>
          <t>Föryngringsavverkning</t>
        </is>
      </c>
      <c r="D150" s="1" t="n">
        <v>44588</v>
      </c>
      <c r="E150" s="1" t="n">
        <v>46220</v>
      </c>
      <c r="F150" t="inlineStr">
        <is>
          <t>ÖREBRO LÄN</t>
        </is>
      </c>
      <c r="G150" t="inlineStr">
        <is>
          <t>KARLSKOGA</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21210-2025</t>
        </is>
      </c>
      <c r="B151" t="inlineStr">
        <is>
          <t>avverkningsanmälan</t>
        </is>
      </c>
      <c r="C151" t="inlineStr">
        <is>
          <t>Föryngringsavverkning</t>
        </is>
      </c>
      <c r="D151" s="1" t="n">
        <v>45779</v>
      </c>
      <c r="E151" s="1" t="n">
        <v>46220</v>
      </c>
      <c r="F151" t="inlineStr">
        <is>
          <t>ÖREBRO LÄN</t>
        </is>
      </c>
      <c r="G151" t="inlineStr">
        <is>
          <t>KARLSKOGA</t>
        </is>
      </c>
      <c r="H151" t="inlineStr">
        <is>
          <t>Sveaskog</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23717-2025</t>
        </is>
      </c>
      <c r="B152" t="inlineStr">
        <is>
          <t>avverkningsanmälan</t>
        </is>
      </c>
      <c r="C152" t="inlineStr">
        <is>
          <t>Föryngringsavverkning</t>
        </is>
      </c>
      <c r="D152" s="1" t="n">
        <v>45793</v>
      </c>
      <c r="E152" s="1" t="n">
        <v>46220</v>
      </c>
      <c r="F152" t="inlineStr">
        <is>
          <t>ÖREBRO LÄN</t>
        </is>
      </c>
      <c r="G152" t="inlineStr">
        <is>
          <t>KARLSKOGA</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46605-2021</t>
        </is>
      </c>
      <c r="B153" t="inlineStr">
        <is>
          <t>avverkningsanmälan</t>
        </is>
      </c>
      <c r="C153" t="inlineStr">
        <is>
          <t>Avverkning för att bevara och utveckla /försöksver</t>
        </is>
      </c>
      <c r="D153" s="1" t="n">
        <v>44445</v>
      </c>
      <c r="E153" s="1" t="n">
        <v>46220</v>
      </c>
      <c r="F153" t="inlineStr">
        <is>
          <t>ÖREBRO LÄN</t>
        </is>
      </c>
      <c r="G153" t="inlineStr">
        <is>
          <t>KARLSKOGA</t>
        </is>
      </c>
      <c r="H153" t="inlineStr">
        <is>
          <t>Sveaskog</t>
        </is>
      </c>
      <c r="I153" t="n">
        <v>3.6</v>
      </c>
      <c r="J153" t="n">
        <v>0</v>
      </c>
      <c r="K153" t="n">
        <v>0</v>
      </c>
      <c r="L153" t="n">
        <v>0</v>
      </c>
      <c r="M153" t="n">
        <v>0</v>
      </c>
      <c r="N153" t="n">
        <v>0</v>
      </c>
      <c r="O153" t="n">
        <v>0</v>
      </c>
      <c r="P153" t="n">
        <v>0</v>
      </c>
      <c r="Q153" t="n">
        <v>0</v>
      </c>
      <c r="R153" t="n">
        <v>0</v>
      </c>
      <c r="S153" t="n">
        <v>0</v>
      </c>
      <c r="T153" t="n">
        <v>0</v>
      </c>
      <c r="U153" s="2" t="inlineStr"/>
    </row>
    <row r="154" ht="15" customHeight="1">
      <c r="A154" t="inlineStr">
        <is>
          <t>A 28100-2024</t>
        </is>
      </c>
      <c r="B154" t="inlineStr">
        <is>
          <t>avverkningsanmälan</t>
        </is>
      </c>
      <c r="C154" t="inlineStr">
        <is>
          <t>Föryngringsavverkning</t>
        </is>
      </c>
      <c r="D154" s="1" t="n">
        <v>45476</v>
      </c>
      <c r="E154" s="1" t="n">
        <v>46220</v>
      </c>
      <c r="F154" t="inlineStr">
        <is>
          <t>ÖREBRO LÄN</t>
        </is>
      </c>
      <c r="G154" t="inlineStr">
        <is>
          <t>KARLSKOGA</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1106-2024</t>
        </is>
      </c>
      <c r="B155" t="inlineStr">
        <is>
          <t>avverkningsanmälan</t>
        </is>
      </c>
      <c r="C155" t="inlineStr">
        <is>
          <t>Föryngringsavverkning</t>
        </is>
      </c>
      <c r="D155" s="1" t="n">
        <v>45302</v>
      </c>
      <c r="E155" s="1" t="n">
        <v>46220</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39030-2022</t>
        </is>
      </c>
      <c r="B156" t="inlineStr">
        <is>
          <t>avverkningsanmälan</t>
        </is>
      </c>
      <c r="C156" t="inlineStr">
        <is>
          <t>Föryngringsavverkning</t>
        </is>
      </c>
      <c r="D156" s="1" t="n">
        <v>44817</v>
      </c>
      <c r="E156" s="1" t="n">
        <v>46220</v>
      </c>
      <c r="F156" t="inlineStr">
        <is>
          <t>ÖREBRO LÄN</t>
        </is>
      </c>
      <c r="G156" t="inlineStr">
        <is>
          <t>KARLSKOGA</t>
        </is>
      </c>
      <c r="H156" t="inlineStr">
        <is>
          <t>Sveaskog</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38382-2022</t>
        </is>
      </c>
      <c r="B157" t="inlineStr">
        <is>
          <t>avverkningsanmälan</t>
        </is>
      </c>
      <c r="C157" t="inlineStr">
        <is>
          <t>Föryngringsavverkning</t>
        </is>
      </c>
      <c r="D157" s="1" t="n">
        <v>44812</v>
      </c>
      <c r="E157" s="1" t="n">
        <v>46220</v>
      </c>
      <c r="F157" t="inlineStr">
        <is>
          <t>ÖREBRO LÄN</t>
        </is>
      </c>
      <c r="G157" t="inlineStr">
        <is>
          <t>KARLSKOGA</t>
        </is>
      </c>
      <c r="H157" t="inlineStr">
        <is>
          <t>Kyrkan</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917-2026</t>
        </is>
      </c>
      <c r="B158" t="inlineStr">
        <is>
          <t>avverkningsanmälan</t>
        </is>
      </c>
      <c r="C158" t="inlineStr">
        <is>
          <t>Föryngringsavverkning</t>
        </is>
      </c>
      <c r="D158" s="1" t="n">
        <v>46030</v>
      </c>
      <c r="E158" s="1" t="n">
        <v>46220</v>
      </c>
      <c r="F158" t="inlineStr">
        <is>
          <t>ÖREBRO LÄN</t>
        </is>
      </c>
      <c r="G158" t="inlineStr">
        <is>
          <t>KARLSKOGA</t>
        </is>
      </c>
      <c r="I158" t="n">
        <v>3.7</v>
      </c>
      <c r="J158" t="n">
        <v>0</v>
      </c>
      <c r="K158" t="n">
        <v>0</v>
      </c>
      <c r="L158" t="n">
        <v>0</v>
      </c>
      <c r="M158" t="n">
        <v>0</v>
      </c>
      <c r="N158" t="n">
        <v>0</v>
      </c>
      <c r="O158" t="n">
        <v>0</v>
      </c>
      <c r="P158" t="n">
        <v>0</v>
      </c>
      <c r="Q158" t="n">
        <v>0</v>
      </c>
      <c r="R158" t="n">
        <v>0</v>
      </c>
      <c r="S158" t="n">
        <v>0</v>
      </c>
      <c r="T158" t="n">
        <v>0</v>
      </c>
      <c r="U158" s="2" t="inlineStr"/>
    </row>
    <row r="159" ht="15" customHeight="1">
      <c r="A159" t="inlineStr">
        <is>
          <t>A 16881-2023</t>
        </is>
      </c>
      <c r="B159" t="inlineStr">
        <is>
          <t>avverkningsanmälan</t>
        </is>
      </c>
      <c r="C159" t="inlineStr">
        <is>
          <t>Föryngringsavverkning</t>
        </is>
      </c>
      <c r="D159" s="1" t="n">
        <v>45033</v>
      </c>
      <c r="E159" s="1" t="n">
        <v>46220</v>
      </c>
      <c r="F159" t="inlineStr">
        <is>
          <t>ÖREBRO LÄN</t>
        </is>
      </c>
      <c r="G159" t="inlineStr">
        <is>
          <t>KARLSKOGA</t>
        </is>
      </c>
      <c r="H159" t="inlineStr">
        <is>
          <t>Kyrkan</t>
        </is>
      </c>
      <c r="I159" t="n">
        <v>2.3</v>
      </c>
      <c r="J159" t="n">
        <v>0</v>
      </c>
      <c r="K159" t="n">
        <v>0</v>
      </c>
      <c r="L159" t="n">
        <v>0</v>
      </c>
      <c r="M159" t="n">
        <v>0</v>
      </c>
      <c r="N159" t="n">
        <v>0</v>
      </c>
      <c r="O159" t="n">
        <v>0</v>
      </c>
      <c r="P159" t="n">
        <v>0</v>
      </c>
      <c r="Q159" t="n">
        <v>0</v>
      </c>
      <c r="R159" t="n">
        <v>0</v>
      </c>
      <c r="S159" t="n">
        <v>0</v>
      </c>
      <c r="T159" t="n">
        <v>0</v>
      </c>
      <c r="U159" s="2" t="inlineStr"/>
    </row>
    <row r="160" ht="15" customHeight="1">
      <c r="A160" t="inlineStr">
        <is>
          <t>A 26822-2026</t>
        </is>
      </c>
      <c r="B160" t="inlineStr">
        <is>
          <t>avverkningsanmälan</t>
        </is>
      </c>
      <c r="C160" t="inlineStr">
        <is>
          <t>Föryngringsavverkning</t>
        </is>
      </c>
      <c r="D160" s="1" t="n">
        <v>46185</v>
      </c>
      <c r="E160" s="1" t="n">
        <v>46220</v>
      </c>
      <c r="F160" t="inlineStr">
        <is>
          <t>ÖREBRO LÄN</t>
        </is>
      </c>
      <c r="G160" t="inlineStr">
        <is>
          <t>KARLSKOGA</t>
        </is>
      </c>
      <c r="H160" t="inlineStr">
        <is>
          <t>Sveaskog</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26824-2026</t>
        </is>
      </c>
      <c r="B161" t="inlineStr">
        <is>
          <t>avverkningsanmälan</t>
        </is>
      </c>
      <c r="C161" t="inlineStr">
        <is>
          <t>Föryngringsavverkning</t>
        </is>
      </c>
      <c r="D161" s="1" t="n">
        <v>46185</v>
      </c>
      <c r="E161" s="1" t="n">
        <v>46220</v>
      </c>
      <c r="F161" t="inlineStr">
        <is>
          <t>ÖREBRO LÄN</t>
        </is>
      </c>
      <c r="G161" t="inlineStr">
        <is>
          <t>KARLSKOGA</t>
        </is>
      </c>
      <c r="H161" t="inlineStr">
        <is>
          <t>Sveaskog</t>
        </is>
      </c>
      <c r="I161" t="n">
        <v>5</v>
      </c>
      <c r="J161" t="n">
        <v>0</v>
      </c>
      <c r="K161" t="n">
        <v>0</v>
      </c>
      <c r="L161" t="n">
        <v>0</v>
      </c>
      <c r="M161" t="n">
        <v>0</v>
      </c>
      <c r="N161" t="n">
        <v>0</v>
      </c>
      <c r="O161" t="n">
        <v>0</v>
      </c>
      <c r="P161" t="n">
        <v>0</v>
      </c>
      <c r="Q161" t="n">
        <v>0</v>
      </c>
      <c r="R161" t="n">
        <v>0</v>
      </c>
      <c r="S161" t="n">
        <v>0</v>
      </c>
      <c r="T161" t="n">
        <v>0</v>
      </c>
      <c r="U161" s="2" t="inlineStr"/>
    </row>
    <row r="162" ht="15" customHeight="1">
      <c r="A162" t="inlineStr">
        <is>
          <t>A 26825-2026</t>
        </is>
      </c>
      <c r="B162" t="inlineStr">
        <is>
          <t>avverkningsanmälan</t>
        </is>
      </c>
      <c r="C162" t="inlineStr">
        <is>
          <t>Föryngringsavverkning</t>
        </is>
      </c>
      <c r="D162" s="1" t="n">
        <v>46185</v>
      </c>
      <c r="E162" s="1" t="n">
        <v>46220</v>
      </c>
      <c r="F162" t="inlineStr">
        <is>
          <t>ÖREBRO LÄN</t>
        </is>
      </c>
      <c r="G162" t="inlineStr">
        <is>
          <t>KARLSKOGA</t>
        </is>
      </c>
      <c r="H162" t="inlineStr">
        <is>
          <t>Sveaskog</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20909-2026</t>
        </is>
      </c>
      <c r="B163" t="inlineStr">
        <is>
          <t>avverkningsanmälan</t>
        </is>
      </c>
      <c r="C163" t="inlineStr">
        <is>
          <t>Föryngringsavverkning</t>
        </is>
      </c>
      <c r="D163" s="1" t="n">
        <v>46142</v>
      </c>
      <c r="E163" s="1" t="n">
        <v>46220</v>
      </c>
      <c r="F163" t="inlineStr">
        <is>
          <t>ÖREBRO LÄN</t>
        </is>
      </c>
      <c r="G163" t="inlineStr">
        <is>
          <t>KARLSKOGA</t>
        </is>
      </c>
      <c r="H163" t="inlineStr">
        <is>
          <t>Övriga Aktiebolag</t>
        </is>
      </c>
      <c r="I163" t="n">
        <v>4</v>
      </c>
      <c r="J163" t="n">
        <v>0</v>
      </c>
      <c r="K163" t="n">
        <v>0</v>
      </c>
      <c r="L163" t="n">
        <v>0</v>
      </c>
      <c r="M163" t="n">
        <v>0</v>
      </c>
      <c r="N163" t="n">
        <v>0</v>
      </c>
      <c r="O163" t="n">
        <v>0</v>
      </c>
      <c r="P163" t="n">
        <v>0</v>
      </c>
      <c r="Q163" t="n">
        <v>0</v>
      </c>
      <c r="R163" t="n">
        <v>0</v>
      </c>
      <c r="S163" t="n">
        <v>0</v>
      </c>
      <c r="T163" t="n">
        <v>0</v>
      </c>
      <c r="U163" s="2" t="inlineStr"/>
    </row>
    <row r="164" ht="15" customHeight="1">
      <c r="A164" t="inlineStr">
        <is>
          <t>A 26608-2026</t>
        </is>
      </c>
      <c r="B164" t="inlineStr">
        <is>
          <t>avverkningsanmälan</t>
        </is>
      </c>
      <c r="C164" t="inlineStr">
        <is>
          <t>Föryngringsavverkning</t>
        </is>
      </c>
      <c r="D164" s="1" t="n">
        <v>46184</v>
      </c>
      <c r="E164" s="1" t="n">
        <v>46220</v>
      </c>
      <c r="F164" t="inlineStr">
        <is>
          <t>ÖREBRO LÄN</t>
        </is>
      </c>
      <c r="G164" t="inlineStr">
        <is>
          <t>KARLSKOGA</t>
        </is>
      </c>
      <c r="H164" t="inlineStr">
        <is>
          <t>Sveaskog</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26819-2026</t>
        </is>
      </c>
      <c r="B165" t="inlineStr">
        <is>
          <t>avverkningsanmälan</t>
        </is>
      </c>
      <c r="C165" t="inlineStr">
        <is>
          <t>Föryngringsavverkning</t>
        </is>
      </c>
      <c r="D165" s="1" t="n">
        <v>46185</v>
      </c>
      <c r="E165" s="1" t="n">
        <v>46220</v>
      </c>
      <c r="F165" t="inlineStr">
        <is>
          <t>ÖREBRO LÄN</t>
        </is>
      </c>
      <c r="G165" t="inlineStr">
        <is>
          <t>KARLSKOGA</t>
        </is>
      </c>
      <c r="H165" t="inlineStr">
        <is>
          <t>Sveaskog</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26820-2026</t>
        </is>
      </c>
      <c r="B166" t="inlineStr">
        <is>
          <t>avverkningsanmälan</t>
        </is>
      </c>
      <c r="C166" t="inlineStr">
        <is>
          <t>Föryngringsavverkning</t>
        </is>
      </c>
      <c r="D166" s="1" t="n">
        <v>46185</v>
      </c>
      <c r="E166" s="1" t="n">
        <v>46220</v>
      </c>
      <c r="F166" t="inlineStr">
        <is>
          <t>ÖREBRO LÄN</t>
        </is>
      </c>
      <c r="G166" t="inlineStr">
        <is>
          <t>KARLSKOGA</t>
        </is>
      </c>
      <c r="H166" t="inlineStr">
        <is>
          <t>Sveaskog</t>
        </is>
      </c>
      <c r="I166" t="n">
        <v>9.9</v>
      </c>
      <c r="J166" t="n">
        <v>0</v>
      </c>
      <c r="K166" t="n">
        <v>0</v>
      </c>
      <c r="L166" t="n">
        <v>0</v>
      </c>
      <c r="M166" t="n">
        <v>0</v>
      </c>
      <c r="N166" t="n">
        <v>0</v>
      </c>
      <c r="O166" t="n">
        <v>0</v>
      </c>
      <c r="P166" t="n">
        <v>0</v>
      </c>
      <c r="Q166" t="n">
        <v>0</v>
      </c>
      <c r="R166" t="n">
        <v>0</v>
      </c>
      <c r="S166" t="n">
        <v>0</v>
      </c>
      <c r="T166" t="n">
        <v>0</v>
      </c>
      <c r="U166" s="2" t="inlineStr"/>
    </row>
    <row r="167" ht="15" customHeight="1">
      <c r="A167" t="inlineStr">
        <is>
          <t>A 26821-2026</t>
        </is>
      </c>
      <c r="B167" t="inlineStr">
        <is>
          <t>avverkningsanmälan</t>
        </is>
      </c>
      <c r="C167" t="inlineStr">
        <is>
          <t>Föryngringsavverkning</t>
        </is>
      </c>
      <c r="D167" s="1" t="n">
        <v>46185</v>
      </c>
      <c r="E167" s="1" t="n">
        <v>46220</v>
      </c>
      <c r="F167" t="inlineStr">
        <is>
          <t>ÖREBRO LÄN</t>
        </is>
      </c>
      <c r="G167" t="inlineStr">
        <is>
          <t>KARLSKOGA</t>
        </is>
      </c>
      <c r="H167" t="inlineStr">
        <is>
          <t>Sveaskog</t>
        </is>
      </c>
      <c r="I167" t="n">
        <v>7.9</v>
      </c>
      <c r="J167" t="n">
        <v>0</v>
      </c>
      <c r="K167" t="n">
        <v>0</v>
      </c>
      <c r="L167" t="n">
        <v>0</v>
      </c>
      <c r="M167" t="n">
        <v>0</v>
      </c>
      <c r="N167" t="n">
        <v>0</v>
      </c>
      <c r="O167" t="n">
        <v>0</v>
      </c>
      <c r="P167" t="n">
        <v>0</v>
      </c>
      <c r="Q167" t="n">
        <v>0</v>
      </c>
      <c r="R167" t="n">
        <v>0</v>
      </c>
      <c r="S167" t="n">
        <v>0</v>
      </c>
      <c r="T167" t="n">
        <v>0</v>
      </c>
      <c r="U167" s="2" t="inlineStr"/>
    </row>
    <row r="168" ht="15" customHeight="1">
      <c r="A168" t="inlineStr">
        <is>
          <t>A 20897-2026</t>
        </is>
      </c>
      <c r="B168" t="inlineStr">
        <is>
          <t>avverkningsanmälan</t>
        </is>
      </c>
      <c r="C168" t="inlineStr">
        <is>
          <t>Föryngringsavverkning</t>
        </is>
      </c>
      <c r="D168" s="1" t="n">
        <v>46142</v>
      </c>
      <c r="E168" s="1" t="n">
        <v>46220</v>
      </c>
      <c r="F168" t="inlineStr">
        <is>
          <t>ÖREBRO LÄN</t>
        </is>
      </c>
      <c r="G168" t="inlineStr">
        <is>
          <t>KARLSKOGA</t>
        </is>
      </c>
      <c r="H168" t="inlineStr">
        <is>
          <t>Övriga Aktiebolag</t>
        </is>
      </c>
      <c r="I168" t="n">
        <v>13.7</v>
      </c>
      <c r="J168" t="n">
        <v>0</v>
      </c>
      <c r="K168" t="n">
        <v>0</v>
      </c>
      <c r="L168" t="n">
        <v>0</v>
      </c>
      <c r="M168" t="n">
        <v>0</v>
      </c>
      <c r="N168" t="n">
        <v>0</v>
      </c>
      <c r="O168" t="n">
        <v>0</v>
      </c>
      <c r="P168" t="n">
        <v>0</v>
      </c>
      <c r="Q168" t="n">
        <v>0</v>
      </c>
      <c r="R168" t="n">
        <v>0</v>
      </c>
      <c r="S168" t="n">
        <v>0</v>
      </c>
      <c r="T168" t="n">
        <v>0</v>
      </c>
      <c r="U168" s="2" t="inlineStr"/>
    </row>
    <row r="169" ht="15" customHeight="1">
      <c r="A169" t="inlineStr">
        <is>
          <t>A 27120-2026</t>
        </is>
      </c>
      <c r="B169" t="inlineStr">
        <is>
          <t>avverkningsanmälan</t>
        </is>
      </c>
      <c r="C169" t="inlineStr">
        <is>
          <t>Föryngringsavverkning</t>
        </is>
      </c>
      <c r="D169" s="1" t="n">
        <v>46188</v>
      </c>
      <c r="E169" s="1" t="n">
        <v>46220</v>
      </c>
      <c r="F169" t="inlineStr">
        <is>
          <t>ÖREBRO LÄN</t>
        </is>
      </c>
      <c r="G169" t="inlineStr">
        <is>
          <t>KARLSKOGA</t>
        </is>
      </c>
      <c r="I169" t="n">
        <v>4.7</v>
      </c>
      <c r="J169" t="n">
        <v>0</v>
      </c>
      <c r="K169" t="n">
        <v>0</v>
      </c>
      <c r="L169" t="n">
        <v>0</v>
      </c>
      <c r="M169" t="n">
        <v>0</v>
      </c>
      <c r="N169" t="n">
        <v>0</v>
      </c>
      <c r="O169" t="n">
        <v>0</v>
      </c>
      <c r="P169" t="n">
        <v>0</v>
      </c>
      <c r="Q169" t="n">
        <v>0</v>
      </c>
      <c r="R169" t="n">
        <v>0</v>
      </c>
      <c r="S169" t="n">
        <v>0</v>
      </c>
      <c r="T169" t="n">
        <v>0</v>
      </c>
      <c r="U169" s="2" t="inlineStr"/>
    </row>
    <row r="170" ht="15" customHeight="1">
      <c r="A170" t="inlineStr">
        <is>
          <t>A 27392-2026</t>
        </is>
      </c>
      <c r="B170" t="inlineStr">
        <is>
          <t>avverkningsanmälan</t>
        </is>
      </c>
      <c r="C170" t="inlineStr">
        <is>
          <t>Föryngringsavverkning</t>
        </is>
      </c>
      <c r="D170" s="1" t="n">
        <v>46189</v>
      </c>
      <c r="E170" s="1" t="n">
        <v>46220</v>
      </c>
      <c r="F170" t="inlineStr">
        <is>
          <t>ÖREBRO LÄN</t>
        </is>
      </c>
      <c r="G170" t="inlineStr">
        <is>
          <t>KARLSKOGA</t>
        </is>
      </c>
      <c r="H170" t="inlineStr">
        <is>
          <t>Sveaskog</t>
        </is>
      </c>
      <c r="I170" t="n">
        <v>2.8</v>
      </c>
      <c r="J170" t="n">
        <v>0</v>
      </c>
      <c r="K170" t="n">
        <v>0</v>
      </c>
      <c r="L170" t="n">
        <v>0</v>
      </c>
      <c r="M170" t="n">
        <v>0</v>
      </c>
      <c r="N170" t="n">
        <v>0</v>
      </c>
      <c r="O170" t="n">
        <v>0</v>
      </c>
      <c r="P170" t="n">
        <v>0</v>
      </c>
      <c r="Q170" t="n">
        <v>0</v>
      </c>
      <c r="R170" t="n">
        <v>0</v>
      </c>
      <c r="S170" t="n">
        <v>0</v>
      </c>
      <c r="T170" t="n">
        <v>0</v>
      </c>
      <c r="U170" s="2" t="inlineStr"/>
    </row>
    <row r="171" ht="15" customHeight="1">
      <c r="A171" t="inlineStr">
        <is>
          <t>A 57422-2021</t>
        </is>
      </c>
      <c r="B171" t="inlineStr">
        <is>
          <t>avverkningsanmälan</t>
        </is>
      </c>
      <c r="C171" t="inlineStr">
        <is>
          <t>Föryngringsavverkning</t>
        </is>
      </c>
      <c r="D171" s="1" t="n">
        <v>44483</v>
      </c>
      <c r="E171" s="1" t="n">
        <v>46220</v>
      </c>
      <c r="F171" t="inlineStr">
        <is>
          <t>ÖREBRO LÄN</t>
        </is>
      </c>
      <c r="G171" t="inlineStr">
        <is>
          <t>KARLSKOGA</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21253-2026</t>
        </is>
      </c>
      <c r="B172" t="inlineStr">
        <is>
          <t>avverkningsanmälan</t>
        </is>
      </c>
      <c r="C172" t="inlineStr">
        <is>
          <t>Föryngringsavverkning</t>
        </is>
      </c>
      <c r="D172" s="1" t="n">
        <v>46147</v>
      </c>
      <c r="E172" s="1" t="n">
        <v>46220</v>
      </c>
      <c r="F172" t="inlineStr">
        <is>
          <t>ÖREBRO LÄN</t>
        </is>
      </c>
      <c r="G172" t="inlineStr">
        <is>
          <t>KARLSKOGA</t>
        </is>
      </c>
      <c r="I172" t="n">
        <v>3.4</v>
      </c>
      <c r="J172" t="n">
        <v>0</v>
      </c>
      <c r="K172" t="n">
        <v>0</v>
      </c>
      <c r="L172" t="n">
        <v>0</v>
      </c>
      <c r="M172" t="n">
        <v>0</v>
      </c>
      <c r="N172" t="n">
        <v>0</v>
      </c>
      <c r="O172" t="n">
        <v>0</v>
      </c>
      <c r="P172" t="n">
        <v>0</v>
      </c>
      <c r="Q172" t="n">
        <v>0</v>
      </c>
      <c r="R172" t="n">
        <v>0</v>
      </c>
      <c r="S172" t="n">
        <v>0</v>
      </c>
      <c r="T172" t="n">
        <v>0</v>
      </c>
      <c r="U172" s="2" t="inlineStr"/>
    </row>
    <row r="173" ht="15" customHeight="1">
      <c r="A173" t="inlineStr">
        <is>
          <t>A 8244-2025</t>
        </is>
      </c>
      <c r="B173" t="inlineStr">
        <is>
          <t>avverkningsanmälan</t>
        </is>
      </c>
      <c r="C173" t="inlineStr">
        <is>
          <t>Föryngringsavverkning</t>
        </is>
      </c>
      <c r="D173" s="1" t="n">
        <v>45708</v>
      </c>
      <c r="E173" s="1" t="n">
        <v>46220</v>
      </c>
      <c r="F173" t="inlineStr">
        <is>
          <t>ÖREBRO LÄN</t>
        </is>
      </c>
      <c r="G173" t="inlineStr">
        <is>
          <t>KARLSKOGA</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21257-2026</t>
        </is>
      </c>
      <c r="B174" t="inlineStr">
        <is>
          <t>avverkningsanmälan</t>
        </is>
      </c>
      <c r="C174" t="inlineStr">
        <is>
          <t>Föryngringsavverkning</t>
        </is>
      </c>
      <c r="D174" s="1" t="n">
        <v>46147</v>
      </c>
      <c r="E174" s="1" t="n">
        <v>46220</v>
      </c>
      <c r="F174" t="inlineStr">
        <is>
          <t>ÖREBRO LÄN</t>
        </is>
      </c>
      <c r="G174" t="inlineStr">
        <is>
          <t>KARLSKOGA</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38190-2024</t>
        </is>
      </c>
      <c r="B175" t="inlineStr">
        <is>
          <t>avverkningsanmälan</t>
        </is>
      </c>
      <c r="C175" t="inlineStr">
        <is>
          <t>Föryngringsavverkning</t>
        </is>
      </c>
      <c r="D175" s="1" t="n">
        <v>45545</v>
      </c>
      <c r="E175" s="1" t="n">
        <v>46220</v>
      </c>
      <c r="F175" t="inlineStr">
        <is>
          <t>ÖREBRO LÄN</t>
        </is>
      </c>
      <c r="G175" t="inlineStr">
        <is>
          <t>KARLSKOGA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20463-2025</t>
        </is>
      </c>
      <c r="B176" t="inlineStr">
        <is>
          <t>avverkningsanmälan</t>
        </is>
      </c>
      <c r="C176" t="inlineStr">
        <is>
          <t>Föryngringsavverkning</t>
        </is>
      </c>
      <c r="D176" s="1" t="n">
        <v>45775</v>
      </c>
      <c r="E176" s="1" t="n">
        <v>46220</v>
      </c>
      <c r="F176" t="inlineStr">
        <is>
          <t>ÖREBRO LÄN</t>
        </is>
      </c>
      <c r="G176" t="inlineStr">
        <is>
          <t>KARLSKOGA</t>
        </is>
      </c>
      <c r="H176" t="inlineStr">
        <is>
          <t>Sveaskog</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21454-2026</t>
        </is>
      </c>
      <c r="B177" t="inlineStr">
        <is>
          <t>avverkningsanmälan</t>
        </is>
      </c>
      <c r="C177" t="inlineStr">
        <is>
          <t>Föryngringsavverkning</t>
        </is>
      </c>
      <c r="D177" s="1" t="n">
        <v>46148</v>
      </c>
      <c r="E177" s="1" t="n">
        <v>46220</v>
      </c>
      <c r="F177" t="inlineStr">
        <is>
          <t>ÖREBRO LÄN</t>
        </is>
      </c>
      <c r="G177" t="inlineStr">
        <is>
          <t>KARLSKOGA</t>
        </is>
      </c>
      <c r="H177" t="inlineStr">
        <is>
          <t>Kyrkan</t>
        </is>
      </c>
      <c r="I177" t="n">
        <v>3</v>
      </c>
      <c r="J177" t="n">
        <v>0</v>
      </c>
      <c r="K177" t="n">
        <v>0</v>
      </c>
      <c r="L177" t="n">
        <v>0</v>
      </c>
      <c r="M177" t="n">
        <v>0</v>
      </c>
      <c r="N177" t="n">
        <v>0</v>
      </c>
      <c r="O177" t="n">
        <v>0</v>
      </c>
      <c r="P177" t="n">
        <v>0</v>
      </c>
      <c r="Q177" t="n">
        <v>0</v>
      </c>
      <c r="R177" t="n">
        <v>0</v>
      </c>
      <c r="S177" t="n">
        <v>0</v>
      </c>
      <c r="T177" t="n">
        <v>0</v>
      </c>
      <c r="U177" s="2" t="inlineStr"/>
    </row>
    <row r="178" ht="15" customHeight="1">
      <c r="A178" t="inlineStr">
        <is>
          <t>A 35470-2024</t>
        </is>
      </c>
      <c r="B178" t="inlineStr">
        <is>
          <t>avverkningsanmälan</t>
        </is>
      </c>
      <c r="C178" t="inlineStr">
        <is>
          <t>Föryngringsavverkning</t>
        </is>
      </c>
      <c r="D178" s="1" t="n">
        <v>45531</v>
      </c>
      <c r="E178" s="1" t="n">
        <v>46220</v>
      </c>
      <c r="F178" t="inlineStr">
        <is>
          <t>ÖREBRO LÄN</t>
        </is>
      </c>
      <c r="G178" t="inlineStr">
        <is>
          <t>KARLSKOGA</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3227-2025</t>
        </is>
      </c>
      <c r="B179" t="inlineStr">
        <is>
          <t>avverkningsanmälan</t>
        </is>
      </c>
      <c r="C179" t="inlineStr">
        <is>
          <t>Föryngringsavverkning</t>
        </is>
      </c>
      <c r="D179" s="1" t="n">
        <v>45679</v>
      </c>
      <c r="E179" s="1" t="n">
        <v>46220</v>
      </c>
      <c r="F179" t="inlineStr">
        <is>
          <t>ÖREBRO LÄN</t>
        </is>
      </c>
      <c r="G179" t="inlineStr">
        <is>
          <t>KARLSKOGA</t>
        </is>
      </c>
      <c r="I179" t="n">
        <v>4.5</v>
      </c>
      <c r="J179" t="n">
        <v>0</v>
      </c>
      <c r="K179" t="n">
        <v>0</v>
      </c>
      <c r="L179" t="n">
        <v>0</v>
      </c>
      <c r="M179" t="n">
        <v>0</v>
      </c>
      <c r="N179" t="n">
        <v>0</v>
      </c>
      <c r="O179" t="n">
        <v>0</v>
      </c>
      <c r="P179" t="n">
        <v>0</v>
      </c>
      <c r="Q179" t="n">
        <v>0</v>
      </c>
      <c r="R179" t="n">
        <v>0</v>
      </c>
      <c r="S179" t="n">
        <v>0</v>
      </c>
      <c r="T179" t="n">
        <v>0</v>
      </c>
      <c r="U179" s="2" t="inlineStr"/>
    </row>
    <row r="180" ht="15" customHeight="1">
      <c r="A180" t="inlineStr">
        <is>
          <t>A 35445-2024</t>
        </is>
      </c>
      <c r="B180" t="inlineStr">
        <is>
          <t>avverkningsanmälan</t>
        </is>
      </c>
      <c r="C180" t="inlineStr">
        <is>
          <t>Föryngringsavverkning</t>
        </is>
      </c>
      <c r="D180" s="1" t="n">
        <v>45531</v>
      </c>
      <c r="E180" s="1" t="n">
        <v>46220</v>
      </c>
      <c r="F180" t="inlineStr">
        <is>
          <t>ÖREBRO LÄN</t>
        </is>
      </c>
      <c r="G180" t="inlineStr">
        <is>
          <t>KARLSKOGA</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47094-2023</t>
        </is>
      </c>
      <c r="B181" t="inlineStr">
        <is>
          <t>avverkningsanmälan</t>
        </is>
      </c>
      <c r="C181" t="inlineStr">
        <is>
          <t>Föryngringsavverkning</t>
        </is>
      </c>
      <c r="D181" s="1" t="n">
        <v>45196</v>
      </c>
      <c r="E181" s="1" t="n">
        <v>46220</v>
      </c>
      <c r="F181" t="inlineStr">
        <is>
          <t>ÖREBRO LÄN</t>
        </is>
      </c>
      <c r="G181" t="inlineStr">
        <is>
          <t>KARLSKOGA</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38196-2024</t>
        </is>
      </c>
      <c r="B182" t="inlineStr">
        <is>
          <t>avverkningsanmälan</t>
        </is>
      </c>
      <c r="C182" t="inlineStr">
        <is>
          <t>Föryngringsavverkning</t>
        </is>
      </c>
      <c r="D182" s="1" t="n">
        <v>45545</v>
      </c>
      <c r="E182" s="1" t="n">
        <v>46220</v>
      </c>
      <c r="F182" t="inlineStr">
        <is>
          <t>ÖREBRO LÄN</t>
        </is>
      </c>
      <c r="G182" t="inlineStr">
        <is>
          <t>KARLSKOGA</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50611-2024</t>
        </is>
      </c>
      <c r="B183" t="inlineStr">
        <is>
          <t>avverkningsanmälan</t>
        </is>
      </c>
      <c r="C183" t="inlineStr">
        <is>
          <t>Föryngringsavverkning</t>
        </is>
      </c>
      <c r="D183" s="1" t="n">
        <v>45601</v>
      </c>
      <c r="E183" s="1" t="n">
        <v>46220</v>
      </c>
      <c r="F183" t="inlineStr">
        <is>
          <t>ÖREBRO LÄN</t>
        </is>
      </c>
      <c r="G183" t="inlineStr">
        <is>
          <t>KARLSKOGA</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20289-2024</t>
        </is>
      </c>
      <c r="B184" t="inlineStr">
        <is>
          <t>avverkningsanmälan</t>
        </is>
      </c>
      <c r="C184" t="inlineStr">
        <is>
          <t>Föryngringsavverkning</t>
        </is>
      </c>
      <c r="D184" s="1" t="n">
        <v>45435</v>
      </c>
      <c r="E184" s="1" t="n">
        <v>46220</v>
      </c>
      <c r="F184" t="inlineStr">
        <is>
          <t>ÖREBRO LÄN</t>
        </is>
      </c>
      <c r="G184" t="inlineStr">
        <is>
          <t>KARLSKOGA</t>
        </is>
      </c>
      <c r="H184" t="inlineStr">
        <is>
          <t>Sveaskog</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52797-2021</t>
        </is>
      </c>
      <c r="B185" t="inlineStr">
        <is>
          <t>avverkningsanmälan</t>
        </is>
      </c>
      <c r="C185" t="inlineStr">
        <is>
          <t>Föryngringsavverkning</t>
        </is>
      </c>
      <c r="D185" s="1" t="n">
        <v>44467</v>
      </c>
      <c r="E185" s="1" t="n">
        <v>46220</v>
      </c>
      <c r="F185" t="inlineStr">
        <is>
          <t>ÖREBRO LÄN</t>
        </is>
      </c>
      <c r="G185" t="inlineStr">
        <is>
          <t>KARLSKOGA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20086-2024</t>
        </is>
      </c>
      <c r="B186" t="inlineStr">
        <is>
          <t>avverkningsanmälan</t>
        </is>
      </c>
      <c r="C186" t="inlineStr">
        <is>
          <t>Avverkning för annat ändamål</t>
        </is>
      </c>
      <c r="D186" s="1" t="n">
        <v>45434</v>
      </c>
      <c r="E186" s="1" t="n">
        <v>46220</v>
      </c>
      <c r="F186" t="inlineStr">
        <is>
          <t>ÖREBRO LÄN</t>
        </is>
      </c>
      <c r="G186" t="inlineStr">
        <is>
          <t>KARLSKOGA</t>
        </is>
      </c>
      <c r="I186" t="n">
        <v>1.5</v>
      </c>
      <c r="J186" t="n">
        <v>0</v>
      </c>
      <c r="K186" t="n">
        <v>0</v>
      </c>
      <c r="L186" t="n">
        <v>0</v>
      </c>
      <c r="M186" t="n">
        <v>0</v>
      </c>
      <c r="N186" t="n">
        <v>0</v>
      </c>
      <c r="O186" t="n">
        <v>0</v>
      </c>
      <c r="P186" t="n">
        <v>0</v>
      </c>
      <c r="Q186" t="n">
        <v>0</v>
      </c>
      <c r="R186" t="n">
        <v>0</v>
      </c>
      <c r="S186" t="n">
        <v>0</v>
      </c>
      <c r="T186" t="n">
        <v>0</v>
      </c>
      <c r="U186" s="2" t="inlineStr"/>
    </row>
    <row r="187" ht="15" customHeight="1">
      <c r="A187" t="inlineStr">
        <is>
          <t>A 13496-2025</t>
        </is>
      </c>
      <c r="B187" t="inlineStr">
        <is>
          <t>avverkningsanmälan</t>
        </is>
      </c>
      <c r="C187" t="inlineStr">
        <is>
          <t>Föryngringsavverkning</t>
        </is>
      </c>
      <c r="D187" s="1" t="n">
        <v>45736</v>
      </c>
      <c r="E187" s="1" t="n">
        <v>46220</v>
      </c>
      <c r="F187" t="inlineStr">
        <is>
          <t>ÖREBRO LÄN</t>
        </is>
      </c>
      <c r="G187" t="inlineStr">
        <is>
          <t>KARLSKOGA</t>
        </is>
      </c>
      <c r="I187" t="n">
        <v>8.800000000000001</v>
      </c>
      <c r="J187" t="n">
        <v>0</v>
      </c>
      <c r="K187" t="n">
        <v>0</v>
      </c>
      <c r="L187" t="n">
        <v>0</v>
      </c>
      <c r="M187" t="n">
        <v>0</v>
      </c>
      <c r="N187" t="n">
        <v>0</v>
      </c>
      <c r="O187" t="n">
        <v>0</v>
      </c>
      <c r="P187" t="n">
        <v>0</v>
      </c>
      <c r="Q187" t="n">
        <v>0</v>
      </c>
      <c r="R187" t="n">
        <v>0</v>
      </c>
      <c r="S187" t="n">
        <v>0</v>
      </c>
      <c r="T187" t="n">
        <v>0</v>
      </c>
      <c r="U187" s="2" t="inlineStr"/>
    </row>
    <row r="188" ht="15" customHeight="1">
      <c r="A188" t="inlineStr">
        <is>
          <t>A 56887-2022</t>
        </is>
      </c>
      <c r="B188" t="inlineStr">
        <is>
          <t>avverkningsanmälan</t>
        </is>
      </c>
      <c r="C188" t="inlineStr">
        <is>
          <t>Föryngringsavverkning</t>
        </is>
      </c>
      <c r="D188" s="1" t="n">
        <v>44894</v>
      </c>
      <c r="E188" s="1" t="n">
        <v>46220</v>
      </c>
      <c r="F188" t="inlineStr">
        <is>
          <t>ÖREBRO LÄN</t>
        </is>
      </c>
      <c r="G188" t="inlineStr">
        <is>
          <t>KARLSKOGA</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23754-2026</t>
        </is>
      </c>
      <c r="B189" t="inlineStr">
        <is>
          <t>avverkningsanmälan</t>
        </is>
      </c>
      <c r="C189" t="inlineStr">
        <is>
          <t>Föryngringsavverkning</t>
        </is>
      </c>
      <c r="D189" s="1" t="n">
        <v>46164</v>
      </c>
      <c r="E189" s="1" t="n">
        <v>46220</v>
      </c>
      <c r="F189" t="inlineStr">
        <is>
          <t>ÖREBRO LÄN</t>
        </is>
      </c>
      <c r="G189" t="inlineStr">
        <is>
          <t>KARLSKOGA</t>
        </is>
      </c>
      <c r="H189" t="inlineStr">
        <is>
          <t>Sveaskog</t>
        </is>
      </c>
      <c r="I189" t="n">
        <v>12.2</v>
      </c>
      <c r="J189" t="n">
        <v>0</v>
      </c>
      <c r="K189" t="n">
        <v>0</v>
      </c>
      <c r="L189" t="n">
        <v>0</v>
      </c>
      <c r="M189" t="n">
        <v>0</v>
      </c>
      <c r="N189" t="n">
        <v>0</v>
      </c>
      <c r="O189" t="n">
        <v>0</v>
      </c>
      <c r="P189" t="n">
        <v>0</v>
      </c>
      <c r="Q189" t="n">
        <v>0</v>
      </c>
      <c r="R189" t="n">
        <v>0</v>
      </c>
      <c r="S189" t="n">
        <v>0</v>
      </c>
      <c r="T189" t="n">
        <v>0</v>
      </c>
      <c r="U189" s="2" t="inlineStr"/>
    </row>
    <row r="190" ht="15" customHeight="1">
      <c r="A190" t="inlineStr">
        <is>
          <t>A 33011-2023</t>
        </is>
      </c>
      <c r="B190" t="inlineStr">
        <is>
          <t>avverkningsanmälan</t>
        </is>
      </c>
      <c r="C190" t="inlineStr">
        <is>
          <t>Föryngringsavverkning</t>
        </is>
      </c>
      <c r="D190" s="1" t="n">
        <v>45125</v>
      </c>
      <c r="E190" s="1" t="n">
        <v>46220</v>
      </c>
      <c r="F190" t="inlineStr">
        <is>
          <t>ÖREBRO LÄN</t>
        </is>
      </c>
      <c r="G190" t="inlineStr">
        <is>
          <t>KARLSKOGA</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3239-2026</t>
        </is>
      </c>
      <c r="B191" t="inlineStr">
        <is>
          <t>avverkningsanmälan</t>
        </is>
      </c>
      <c r="C191" t="inlineStr">
        <is>
          <t>Föryngringsavverkning</t>
        </is>
      </c>
      <c r="D191" s="1" t="n">
        <v>46041</v>
      </c>
      <c r="E191" s="1" t="n">
        <v>46220</v>
      </c>
      <c r="F191" t="inlineStr">
        <is>
          <t>ÖREBRO LÄN</t>
        </is>
      </c>
      <c r="G191" t="inlineStr">
        <is>
          <t>KARLSKOGA</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4587-2025</t>
        </is>
      </c>
      <c r="B192" t="inlineStr">
        <is>
          <t>avverkningsanmälan</t>
        </is>
      </c>
      <c r="C192" t="inlineStr">
        <is>
          <t>Föryngringsavverkning</t>
        </is>
      </c>
      <c r="D192" s="1" t="n">
        <v>45687</v>
      </c>
      <c r="E192" s="1" t="n">
        <v>46220</v>
      </c>
      <c r="F192" t="inlineStr">
        <is>
          <t>ÖREBRO LÄN</t>
        </is>
      </c>
      <c r="G192" t="inlineStr">
        <is>
          <t>KARLSKOGA</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41777-2021</t>
        </is>
      </c>
      <c r="B193" t="inlineStr">
        <is>
          <t>avverkningsanmälan</t>
        </is>
      </c>
      <c r="C193" t="inlineStr">
        <is>
          <t>Föryngringsavverkning</t>
        </is>
      </c>
      <c r="D193" s="1" t="n">
        <v>44425</v>
      </c>
      <c r="E193" s="1" t="n">
        <v>46220</v>
      </c>
      <c r="F193" t="inlineStr">
        <is>
          <t>ÖREBRO LÄN</t>
        </is>
      </c>
      <c r="G193" t="inlineStr">
        <is>
          <t>KARLSKOGA</t>
        </is>
      </c>
      <c r="H193" t="inlineStr">
        <is>
          <t>Sveaskog</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41779-2021</t>
        </is>
      </c>
      <c r="B194" t="inlineStr">
        <is>
          <t>avverkningsanmälan</t>
        </is>
      </c>
      <c r="C194" t="inlineStr">
        <is>
          <t>Föryngringsavverkning</t>
        </is>
      </c>
      <c r="D194" s="1" t="n">
        <v>44425</v>
      </c>
      <c r="E194" s="1" t="n">
        <v>46220</v>
      </c>
      <c r="F194" t="inlineStr">
        <is>
          <t>ÖREBRO LÄN</t>
        </is>
      </c>
      <c r="G194" t="inlineStr">
        <is>
          <t>KARLSKOGA</t>
        </is>
      </c>
      <c r="H194" t="inlineStr">
        <is>
          <t>Sveaskog</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51344-2023</t>
        </is>
      </c>
      <c r="B195" t="inlineStr">
        <is>
          <t>avverkningsanmälan</t>
        </is>
      </c>
      <c r="C195" t="inlineStr">
        <is>
          <t>Föryngringsavverkning</t>
        </is>
      </c>
      <c r="D195" s="1" t="n">
        <v>45219</v>
      </c>
      <c r="E195" s="1" t="n">
        <v>46220</v>
      </c>
      <c r="F195" t="inlineStr">
        <is>
          <t>ÖREBRO LÄN</t>
        </is>
      </c>
      <c r="G195" t="inlineStr">
        <is>
          <t>KARLSKOGA</t>
        </is>
      </c>
      <c r="H195" t="inlineStr">
        <is>
          <t>Övriga Aktiebolag</t>
        </is>
      </c>
      <c r="I195" t="n">
        <v>4.5</v>
      </c>
      <c r="J195" t="n">
        <v>0</v>
      </c>
      <c r="K195" t="n">
        <v>0</v>
      </c>
      <c r="L195" t="n">
        <v>0</v>
      </c>
      <c r="M195" t="n">
        <v>0</v>
      </c>
      <c r="N195" t="n">
        <v>0</v>
      </c>
      <c r="O195" t="n">
        <v>0</v>
      </c>
      <c r="P195" t="n">
        <v>0</v>
      </c>
      <c r="Q195" t="n">
        <v>0</v>
      </c>
      <c r="R195" t="n">
        <v>0</v>
      </c>
      <c r="S195" t="n">
        <v>0</v>
      </c>
      <c r="T195" t="n">
        <v>0</v>
      </c>
      <c r="U195" s="2" t="inlineStr"/>
    </row>
    <row r="196" ht="15" customHeight="1">
      <c r="A196" t="inlineStr">
        <is>
          <t>A 4587-2025</t>
        </is>
      </c>
      <c r="B196" t="inlineStr">
        <is>
          <t>avverkningsanmälan</t>
        </is>
      </c>
      <c r="C196" t="inlineStr">
        <is>
          <t>Föryngringsavverkning</t>
        </is>
      </c>
      <c r="D196" s="1" t="n">
        <v>45687</v>
      </c>
      <c r="E196" s="1" t="n">
        <v>46220</v>
      </c>
      <c r="F196" t="inlineStr">
        <is>
          <t>ÖREBRO LÄN</t>
        </is>
      </c>
      <c r="G196" t="inlineStr">
        <is>
          <t>KARLSKOGA</t>
        </is>
      </c>
      <c r="I196" t="n">
        <v>3.3</v>
      </c>
      <c r="J196" t="n">
        <v>0</v>
      </c>
      <c r="K196" t="n">
        <v>0</v>
      </c>
      <c r="L196" t="n">
        <v>0</v>
      </c>
      <c r="M196" t="n">
        <v>0</v>
      </c>
      <c r="N196" t="n">
        <v>0</v>
      </c>
      <c r="O196" t="n">
        <v>0</v>
      </c>
      <c r="P196" t="n">
        <v>0</v>
      </c>
      <c r="Q196" t="n">
        <v>0</v>
      </c>
      <c r="R196" t="n">
        <v>0</v>
      </c>
      <c r="S196" t="n">
        <v>0</v>
      </c>
      <c r="T196" t="n">
        <v>0</v>
      </c>
      <c r="U196" s="2" t="inlineStr"/>
    </row>
    <row r="197" ht="15" customHeight="1">
      <c r="A197" t="inlineStr">
        <is>
          <t>A 10515-2023</t>
        </is>
      </c>
      <c r="B197" t="inlineStr">
        <is>
          <t>avverkningsanmälan</t>
        </is>
      </c>
      <c r="C197" t="inlineStr">
        <is>
          <t>Föryngringsavverkning</t>
        </is>
      </c>
      <c r="D197" s="1" t="n">
        <v>44987</v>
      </c>
      <c r="E197" s="1" t="n">
        <v>46220</v>
      </c>
      <c r="F197" t="inlineStr">
        <is>
          <t>ÖREBRO LÄN</t>
        </is>
      </c>
      <c r="G197" t="inlineStr">
        <is>
          <t>KARLSKOGA</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24666-2026</t>
        </is>
      </c>
      <c r="B198" t="inlineStr">
        <is>
          <t>avverkningsanmälan</t>
        </is>
      </c>
      <c r="C198" t="inlineStr">
        <is>
          <t>Föryngringsavverkning</t>
        </is>
      </c>
      <c r="D198" s="1" t="n">
        <v>46171</v>
      </c>
      <c r="E198" s="1" t="n">
        <v>46220</v>
      </c>
      <c r="F198" t="inlineStr">
        <is>
          <t>ÖREBRO LÄN</t>
        </is>
      </c>
      <c r="G198" t="inlineStr">
        <is>
          <t>KARLSKOGA</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39337-2022</t>
        </is>
      </c>
      <c r="B199" t="inlineStr">
        <is>
          <t>avverkningsanmälan</t>
        </is>
      </c>
      <c r="C199" t="inlineStr">
        <is>
          <t>Föryngringsavverkning</t>
        </is>
      </c>
      <c r="D199" s="1" t="n">
        <v>44817</v>
      </c>
      <c r="E199" s="1" t="n">
        <v>46220</v>
      </c>
      <c r="F199" t="inlineStr">
        <is>
          <t>ÖREBRO LÄN</t>
        </is>
      </c>
      <c r="G199" t="inlineStr">
        <is>
          <t>KARLSKOGA</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53620-2024</t>
        </is>
      </c>
      <c r="B200" t="inlineStr">
        <is>
          <t>avverkningsanmälan</t>
        </is>
      </c>
      <c r="C200" t="inlineStr">
        <is>
          <t>Föryngringsavverkning</t>
        </is>
      </c>
      <c r="D200" s="1" t="n">
        <v>45614</v>
      </c>
      <c r="E200" s="1" t="n">
        <v>46220</v>
      </c>
      <c r="F200" t="inlineStr">
        <is>
          <t>ÖREBRO LÄN</t>
        </is>
      </c>
      <c r="G200" t="inlineStr">
        <is>
          <t>KARLSKOGA</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25092-2026</t>
        </is>
      </c>
      <c r="B201" t="inlineStr">
        <is>
          <t>avverkningsanmälan</t>
        </is>
      </c>
      <c r="C201" t="inlineStr">
        <is>
          <t>Föryngringsavverkning</t>
        </is>
      </c>
      <c r="D201" s="1" t="n">
        <v>46175</v>
      </c>
      <c r="E201" s="1" t="n">
        <v>46220</v>
      </c>
      <c r="F201" t="inlineStr">
        <is>
          <t>ÖREBRO LÄN</t>
        </is>
      </c>
      <c r="G201" t="inlineStr">
        <is>
          <t>KARLSKOGA</t>
        </is>
      </c>
      <c r="H201" t="inlineStr">
        <is>
          <t>Sveaskog</t>
        </is>
      </c>
      <c r="I201" t="n">
        <v>1.9</v>
      </c>
      <c r="J201" t="n">
        <v>0</v>
      </c>
      <c r="K201" t="n">
        <v>0</v>
      </c>
      <c r="L201" t="n">
        <v>0</v>
      </c>
      <c r="M201" t="n">
        <v>0</v>
      </c>
      <c r="N201" t="n">
        <v>0</v>
      </c>
      <c r="O201" t="n">
        <v>0</v>
      </c>
      <c r="P201" t="n">
        <v>0</v>
      </c>
      <c r="Q201" t="n">
        <v>0</v>
      </c>
      <c r="R201" t="n">
        <v>0</v>
      </c>
      <c r="S201" t="n">
        <v>0</v>
      </c>
      <c r="T201" t="n">
        <v>0</v>
      </c>
      <c r="U201" s="2" t="inlineStr"/>
    </row>
    <row r="202" ht="15" customHeight="1">
      <c r="A202" t="inlineStr">
        <is>
          <t>A 25098-2026</t>
        </is>
      </c>
      <c r="B202" t="inlineStr">
        <is>
          <t>avverkningsanmälan</t>
        </is>
      </c>
      <c r="C202" t="inlineStr">
        <is>
          <t>Avverkning för att bevara och utveckla /försöksver</t>
        </is>
      </c>
      <c r="D202" s="1" t="n">
        <v>46175</v>
      </c>
      <c r="E202" s="1" t="n">
        <v>46220</v>
      </c>
      <c r="F202" t="inlineStr">
        <is>
          <t>ÖREBRO LÄN</t>
        </is>
      </c>
      <c r="G202" t="inlineStr">
        <is>
          <t>KARLSKOGA</t>
        </is>
      </c>
      <c r="H202" t="inlineStr">
        <is>
          <t>Sveaskog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31378-2026</t>
        </is>
      </c>
      <c r="B203" t="inlineStr">
        <is>
          <t>avverkningsanmälan</t>
        </is>
      </c>
      <c r="C203" t="inlineStr">
        <is>
          <t>Föryngringsavverkning</t>
        </is>
      </c>
      <c r="D203" s="1" t="n">
        <v>46213</v>
      </c>
      <c r="E203" s="1" t="n">
        <v>46220</v>
      </c>
      <c r="F203" t="inlineStr">
        <is>
          <t>ÖREBRO LÄN</t>
        </is>
      </c>
      <c r="G203" t="inlineStr">
        <is>
          <t>KARLSKOGA</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13501-2025</t>
        </is>
      </c>
      <c r="B204" t="inlineStr">
        <is>
          <t>avverkningsanmälan</t>
        </is>
      </c>
      <c r="C204" t="inlineStr">
        <is>
          <t>Föryngringsavverkning</t>
        </is>
      </c>
      <c r="D204" s="1" t="n">
        <v>45736</v>
      </c>
      <c r="E204" s="1" t="n">
        <v>46220</v>
      </c>
      <c r="F204" t="inlineStr">
        <is>
          <t>ÖREBRO LÄN</t>
        </is>
      </c>
      <c r="G204" t="inlineStr">
        <is>
          <t>KARLSKOGA</t>
        </is>
      </c>
      <c r="I204" t="n">
        <v>3.2</v>
      </c>
      <c r="J204" t="n">
        <v>0</v>
      </c>
      <c r="K204" t="n">
        <v>0</v>
      </c>
      <c r="L204" t="n">
        <v>0</v>
      </c>
      <c r="M204" t="n">
        <v>0</v>
      </c>
      <c r="N204" t="n">
        <v>0</v>
      </c>
      <c r="O204" t="n">
        <v>0</v>
      </c>
      <c r="P204" t="n">
        <v>0</v>
      </c>
      <c r="Q204" t="n">
        <v>0</v>
      </c>
      <c r="R204" t="n">
        <v>0</v>
      </c>
      <c r="S204" t="n">
        <v>0</v>
      </c>
      <c r="T204" t="n">
        <v>0</v>
      </c>
      <c r="U204" s="2" t="inlineStr"/>
    </row>
    <row r="205" ht="15" customHeight="1">
      <c r="A205" t="inlineStr">
        <is>
          <t>A 10404-2022</t>
        </is>
      </c>
      <c r="B205" t="inlineStr">
        <is>
          <t>avverkningsanmälan</t>
        </is>
      </c>
      <c r="C205" t="inlineStr">
        <is>
          <t>Föryngringsavverkning</t>
        </is>
      </c>
      <c r="D205" s="1" t="n">
        <v>44623</v>
      </c>
      <c r="E205" s="1" t="n">
        <v>46220</v>
      </c>
      <c r="F205" t="inlineStr">
        <is>
          <t>ÖREBRO LÄN</t>
        </is>
      </c>
      <c r="G205" t="inlineStr">
        <is>
          <t>KARLSKOGA</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22234-2025</t>
        </is>
      </c>
      <c r="B206" t="inlineStr">
        <is>
          <t>avverkningsanmälan</t>
        </is>
      </c>
      <c r="C206" t="inlineStr">
        <is>
          <t>Föryngringsavverkning</t>
        </is>
      </c>
      <c r="D206" s="1" t="n">
        <v>45785</v>
      </c>
      <c r="E206" s="1" t="n">
        <v>46220</v>
      </c>
      <c r="F206" t="inlineStr">
        <is>
          <t>ÖREBRO LÄN</t>
        </is>
      </c>
      <c r="G206" t="inlineStr">
        <is>
          <t>KARLSKOGA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38742-2023</t>
        </is>
      </c>
      <c r="B207" t="inlineStr">
        <is>
          <t>avverkningsanmälan</t>
        </is>
      </c>
      <c r="C207" t="inlineStr">
        <is>
          <t>Avverkning för annat ändamål</t>
        </is>
      </c>
      <c r="D207" s="1" t="n">
        <v>45161</v>
      </c>
      <c r="E207" s="1" t="n">
        <v>46220</v>
      </c>
      <c r="F207" t="inlineStr">
        <is>
          <t>ÖREBRO LÄN</t>
        </is>
      </c>
      <c r="G207" t="inlineStr">
        <is>
          <t>KARLSKOGA</t>
        </is>
      </c>
      <c r="H207" t="inlineStr">
        <is>
          <t>Övriga Aktiebolag</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22244-2025</t>
        </is>
      </c>
      <c r="B208" t="inlineStr">
        <is>
          <t>avverkningsanmälan</t>
        </is>
      </c>
      <c r="C208" t="inlineStr">
        <is>
          <t>Föryngringsavverkning</t>
        </is>
      </c>
      <c r="D208" s="1" t="n">
        <v>45785</v>
      </c>
      <c r="E208" s="1" t="n">
        <v>46220</v>
      </c>
      <c r="F208" t="inlineStr">
        <is>
          <t>ÖREBRO LÄN</t>
        </is>
      </c>
      <c r="G208" t="inlineStr">
        <is>
          <t>KARLSKOGA</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3735-2024</t>
        </is>
      </c>
      <c r="B209" t="inlineStr">
        <is>
          <t>avverkningsanmälan</t>
        </is>
      </c>
      <c r="C209" t="inlineStr">
        <is>
          <t>Föryngringsavverkning</t>
        </is>
      </c>
      <c r="D209" s="1" t="n">
        <v>45321</v>
      </c>
      <c r="E209" s="1" t="n">
        <v>46220</v>
      </c>
      <c r="F209" t="inlineStr">
        <is>
          <t>ÖREBRO LÄN</t>
        </is>
      </c>
      <c r="G209" t="inlineStr">
        <is>
          <t>KARLSKOGA</t>
        </is>
      </c>
      <c r="H209" t="inlineStr">
        <is>
          <t>Övriga Aktiebolag</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23308-2025</t>
        </is>
      </c>
      <c r="B210" t="inlineStr">
        <is>
          <t>avverkningsanmälan</t>
        </is>
      </c>
      <c r="C210" t="inlineStr">
        <is>
          <t>Föryngringsavverkning</t>
        </is>
      </c>
      <c r="D210" s="1" t="n">
        <v>45791</v>
      </c>
      <c r="E210" s="1" t="n">
        <v>46220</v>
      </c>
      <c r="F210" t="inlineStr">
        <is>
          <t>ÖREBRO LÄN</t>
        </is>
      </c>
      <c r="G210" t="inlineStr">
        <is>
          <t>KARLSKOGA</t>
        </is>
      </c>
      <c r="I210" t="n">
        <v>1.5</v>
      </c>
      <c r="J210" t="n">
        <v>0</v>
      </c>
      <c r="K210" t="n">
        <v>0</v>
      </c>
      <c r="L210" t="n">
        <v>0</v>
      </c>
      <c r="M210" t="n">
        <v>0</v>
      </c>
      <c r="N210" t="n">
        <v>0</v>
      </c>
      <c r="O210" t="n">
        <v>0</v>
      </c>
      <c r="P210" t="n">
        <v>0</v>
      </c>
      <c r="Q210" t="n">
        <v>0</v>
      </c>
      <c r="R210" t="n">
        <v>0</v>
      </c>
      <c r="S210" t="n">
        <v>0</v>
      </c>
      <c r="T210" t="n">
        <v>0</v>
      </c>
      <c r="U210" s="2" t="inlineStr"/>
    </row>
    <row r="211">
      <c r="A211" t="inlineStr">
        <is>
          <t>S 2960-2025</t>
        </is>
      </c>
      <c r="B211" t="inlineStr">
        <is>
          <t>samrådsanmälan</t>
        </is>
      </c>
      <c r="C211" t="inlineStr">
        <is>
          <t>Annan skogsbruksåtgärd</t>
        </is>
      </c>
      <c r="D211" s="1" t="n">
        <v>45953</v>
      </c>
      <c r="E211" s="1" t="n">
        <v>46220</v>
      </c>
      <c r="F211" t="inlineStr">
        <is>
          <t>ÖREBRO LÄN</t>
        </is>
      </c>
      <c r="G211" t="inlineStr">
        <is>
          <t>KARLSKOGA</t>
        </is>
      </c>
      <c r="H211" t="inlineStr">
        <is>
          <t>Sveaskog</t>
        </is>
      </c>
      <c r="I211" t="n">
        <v>2.4</v>
      </c>
      <c r="J211" t="n">
        <v>0</v>
      </c>
      <c r="K211" t="n">
        <v>0</v>
      </c>
      <c r="L211" t="n">
        <v>0</v>
      </c>
      <c r="M211" t="n">
        <v>0</v>
      </c>
      <c r="N211" t="n">
        <v>0</v>
      </c>
      <c r="O211" t="n">
        <v>0</v>
      </c>
      <c r="P211" t="n">
        <v>0</v>
      </c>
      <c r="Q211" t="n">
        <v>0</v>
      </c>
      <c r="R211" t="n">
        <v>0</v>
      </c>
      <c r="S211" t="n">
        <v>0</v>
      </c>
      <c r="T211" t="n">
        <v>0</v>
      </c>
      <c r="U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2026-07-17T01:42:53Z</dcterms:created>
  <dcterms:modified xmlns:dcterms="http://purl.org/dc/terms/" xmlns:xsi="http://www.w3.org/2001/XMLSchema-instance" xsi:type="dcterms:W3CDTF">2026-07-17T01:42:53Z</dcterms:modified>
</cp:coreProperties>
</file>