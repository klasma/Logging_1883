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46182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46182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46182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46182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46182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46182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46182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46182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28566-2024</t>
        </is>
      </c>
      <c r="B16" s="1" t="n">
        <v>45478.38914351852</v>
      </c>
      <c r="C16" s="1" t="n">
        <v>46182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HYPERLINK("https://klasma.github.io/Logging_1883/artfynd/A 28566-2024 artfynd.xlsx", "A 28566-2024")</f>
        <v/>
      </c>
      <c r="T16">
        <f>HYPERLINK("https://klasma.github.io/Logging_1883/kartor/A 28566-2024 karta.png", "A 28566-2024")</f>
        <v/>
      </c>
      <c r="V16">
        <f>HYPERLINK("https://klasma.github.io/Logging_1883/klagomål/A 28566-2024 FSC-klagomål.docx", "A 28566-2024")</f>
        <v/>
      </c>
      <c r="W16">
        <f>HYPERLINK("https://klasma.github.io/Logging_1883/klagomålsmail/A 28566-2024 FSC-klagomål mail.docx", "A 28566-2024")</f>
        <v/>
      </c>
      <c r="X16">
        <f>HYPERLINK("https://klasma.github.io/Logging_1883/tillsyn/A 28566-2024 tillsynsbegäran.docx", "A 28566-2024")</f>
        <v/>
      </c>
      <c r="Y16">
        <f>HYPERLINK("https://klasma.github.io/Logging_1883/tillsynsmail/A 28566-2024 tillsynsbegäran mail.docx", "A 28566-2024")</f>
        <v/>
      </c>
      <c r="Z16">
        <f>HYPERLINK("https://klasma.github.io/Logging_1883/fåglar/A 28566-2024 prioriterade fågelarter.docx", "A 28566-2024")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46182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52377-2025</t>
        </is>
      </c>
      <c r="B18" s="1" t="n">
        <v>45953.94622685185</v>
      </c>
      <c r="C18" s="1" t="n">
        <v>46182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52377-2025 artfynd.xlsx", "A 52377-2025")</f>
        <v/>
      </c>
      <c r="T18">
        <f>HYPERLINK("https://klasma.github.io/Logging_1883/kartor/A 52377-2025 karta.png", "A 52377-2025")</f>
        <v/>
      </c>
      <c r="V18">
        <f>HYPERLINK("https://klasma.github.io/Logging_1883/klagomål/A 52377-2025 FSC-klagomål.docx", "A 52377-2025")</f>
        <v/>
      </c>
      <c r="W18">
        <f>HYPERLINK("https://klasma.github.io/Logging_1883/klagomålsmail/A 52377-2025 FSC-klagomål mail.docx", "A 52377-2025")</f>
        <v/>
      </c>
      <c r="X18">
        <f>HYPERLINK("https://klasma.github.io/Logging_1883/tillsyn/A 52377-2025 tillsynsbegäran.docx", "A 52377-2025")</f>
        <v/>
      </c>
      <c r="Y18">
        <f>HYPERLINK("https://klasma.github.io/Logging_1883/tillsynsmail/A 52377-2025 tillsynsbegäran mail.docx", "A 52377-2025")</f>
        <v/>
      </c>
    </row>
    <row r="19" ht="15" customHeight="1">
      <c r="A19" t="inlineStr">
        <is>
          <t>A 40528-2024</t>
        </is>
      </c>
      <c r="B19" s="1" t="n">
        <v>45555.60616898148</v>
      </c>
      <c r="C19" s="1" t="n">
        <v>46182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12690-2026</t>
        </is>
      </c>
      <c r="B20" s="1" t="n">
        <v>46091.5705787037</v>
      </c>
      <c r="C20" s="1" t="n">
        <v>46182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HYPERLINK("https://klasma.github.io/Logging_1883/artfynd/A 12690-2026 artfynd.xlsx", "A 12690-2026")</f>
        <v/>
      </c>
      <c r="T20">
        <f>HYPERLINK("https://klasma.github.io/Logging_1883/kartor/A 12690-2026 karta.png", "A 12690-2026")</f>
        <v/>
      </c>
      <c r="V20">
        <f>HYPERLINK("https://klasma.github.io/Logging_1883/klagomål/A 12690-2026 FSC-klagomål.docx", "A 12690-2026")</f>
        <v/>
      </c>
      <c r="W20">
        <f>HYPERLINK("https://klasma.github.io/Logging_1883/klagomålsmail/A 12690-2026 FSC-klagomål mail.docx", "A 12690-2026")</f>
        <v/>
      </c>
      <c r="X20">
        <f>HYPERLINK("https://klasma.github.io/Logging_1883/tillsyn/A 12690-2026 tillsynsbegäran.docx", "A 12690-2026")</f>
        <v/>
      </c>
      <c r="Y20">
        <f>HYPERLINK("https://klasma.github.io/Logging_1883/tillsynsmail/A 12690-2026 tillsynsbegäran mail.docx", "A 12690-2026")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46182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21019-2026</t>
        </is>
      </c>
      <c r="B22" s="1" t="n">
        <v>46145.25949074074</v>
      </c>
      <c r="C22" s="1" t="n">
        <v>46182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HYPERLINK("https://klasma.github.io/Logging_1883/artfynd/A 21019-2026 artfynd.xlsx", "A 21019-2026")</f>
        <v/>
      </c>
      <c r="T22">
        <f>HYPERLINK("https://klasma.github.io/Logging_1883/kartor/A 21019-2026 karta.png", "A 21019-2026")</f>
        <v/>
      </c>
      <c r="V22">
        <f>HYPERLINK("https://klasma.github.io/Logging_1883/klagomål/A 21019-2026 FSC-klagomål.docx", "A 21019-2026")</f>
        <v/>
      </c>
      <c r="W22">
        <f>HYPERLINK("https://klasma.github.io/Logging_1883/klagomålsmail/A 21019-2026 FSC-klagomål mail.docx", "A 21019-2026")</f>
        <v/>
      </c>
      <c r="X22">
        <f>HYPERLINK("https://klasma.github.io/Logging_1883/tillsyn/A 21019-2026 tillsynsbegäran.docx", "A 21019-2026")</f>
        <v/>
      </c>
      <c r="Y22">
        <f>HYPERLINK("https://klasma.github.io/Logging_1883/tillsynsmail/A 21019-2026 tillsynsbegäran mail.docx", "A 21019-2026")</f>
        <v/>
      </c>
    </row>
    <row r="23" ht="15" customHeight="1">
      <c r="A23" t="inlineStr">
        <is>
          <t>A 18427-2026</t>
        </is>
      </c>
      <c r="B23" s="1" t="n">
        <v>46127.32074074074</v>
      </c>
      <c r="C23" s="1" t="n">
        <v>46182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46132.65150462963</v>
      </c>
      <c r="C24" s="1" t="n">
        <v>46182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20110-2026</t>
        </is>
      </c>
      <c r="B25" s="1" t="n">
        <v>46136.65408564815</v>
      </c>
      <c r="C25" s="1" t="n">
        <v>46182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20110-2026 artfynd.xlsx", "A 20110-2026")</f>
        <v/>
      </c>
      <c r="T25">
        <f>HYPERLINK("https://klasma.github.io/Logging_1883/kartor/A 20110-2026 karta.png", "A 20110-2026")</f>
        <v/>
      </c>
      <c r="V25">
        <f>HYPERLINK("https://klasma.github.io/Logging_1883/klagomål/A 20110-2026 FSC-klagomål.docx", "A 20110-2026")</f>
        <v/>
      </c>
      <c r="W25">
        <f>HYPERLINK("https://klasma.github.io/Logging_1883/klagomålsmail/A 20110-2026 FSC-klagomål mail.docx", "A 20110-2026")</f>
        <v/>
      </c>
      <c r="X25">
        <f>HYPERLINK("https://klasma.github.io/Logging_1883/tillsyn/A 20110-2026 tillsynsbegäran.docx", "A 20110-2026")</f>
        <v/>
      </c>
      <c r="Y25">
        <f>HYPERLINK("https://klasma.github.io/Logging_1883/tillsynsmail/A 20110-2026 tillsynsbegäran mail.docx", "A 20110-2026")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46182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46182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46182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46182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46182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46182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46182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46182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46182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46182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46182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46182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46182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45117-2021</t>
        </is>
      </c>
      <c r="B43" s="1" t="n">
        <v>44439</v>
      </c>
      <c r="C43" s="1" t="n">
        <v>46182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39027-2022</t>
        </is>
      </c>
      <c r="B44" s="1" t="n">
        <v>44817</v>
      </c>
      <c r="C44" s="1" t="n">
        <v>46182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11081-2022</t>
        </is>
      </c>
      <c r="B45" s="1" t="n">
        <v>44628</v>
      </c>
      <c r="C45" s="1" t="n">
        <v>46182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58390-2024</t>
        </is>
      </c>
      <c r="B46" s="1" t="n">
        <v>45633.6719212963</v>
      </c>
      <c r="C46" s="1" t="n">
        <v>46182</v>
      </c>
      <c r="D46" t="inlineStr">
        <is>
          <t>ÖREBRO LÄN</t>
        </is>
      </c>
      <c r="E46" t="inlineStr">
        <is>
          <t>KARLSKOGA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4587-2025</t>
        </is>
      </c>
      <c r="B47" s="1" t="n">
        <v>45687.51668981482</v>
      </c>
      <c r="C47" s="1" t="n">
        <v>46182</v>
      </c>
      <c r="D47" t="inlineStr">
        <is>
          <t>ÖREBRO LÄN</t>
        </is>
      </c>
      <c r="E47" t="inlineStr">
        <is>
          <t>KARLSKOGA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52826-2024</t>
        </is>
      </c>
      <c r="B48" s="1" t="n">
        <v>45610.59243055555</v>
      </c>
      <c r="C48" s="1" t="n">
        <v>46182</v>
      </c>
      <c r="D48" t="inlineStr">
        <is>
          <t>ÖREBRO LÄN</t>
        </is>
      </c>
      <c r="E48" t="inlineStr">
        <is>
          <t>KARLSKOGA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52829-2024</t>
        </is>
      </c>
      <c r="B49" s="1" t="n">
        <v>45610.59344907408</v>
      </c>
      <c r="C49" s="1" t="n">
        <v>46182</v>
      </c>
      <c r="D49" t="inlineStr">
        <is>
          <t>ÖREBRO LÄN</t>
        </is>
      </c>
      <c r="E49" t="inlineStr">
        <is>
          <t>KARLSKOGA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4164-2022</t>
        </is>
      </c>
      <c r="B50" s="1" t="n">
        <v>44588</v>
      </c>
      <c r="C50" s="1" t="n">
        <v>46182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35471-2024</t>
        </is>
      </c>
      <c r="B51" s="1" t="n">
        <v>45531.46973379629</v>
      </c>
      <c r="C51" s="1" t="n">
        <v>46182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9712-2024</t>
        </is>
      </c>
      <c r="B52" s="1" t="n">
        <v>45362</v>
      </c>
      <c r="C52" s="1" t="n">
        <v>46182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11974-2025</t>
        </is>
      </c>
      <c r="B53" s="1" t="n">
        <v>45728.58998842593</v>
      </c>
      <c r="C53" s="1" t="n">
        <v>46182</v>
      </c>
      <c r="D53" t="inlineStr">
        <is>
          <t>ÖREBRO LÄN</t>
        </is>
      </c>
      <c r="E53" t="inlineStr">
        <is>
          <t>KARLSKOGA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46182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28474-2023</t>
        </is>
      </c>
      <c r="B55" s="1" t="n">
        <v>45103.42020833334</v>
      </c>
      <c r="C55" s="1" t="n">
        <v>46182</v>
      </c>
      <c r="D55" t="inlineStr">
        <is>
          <t>ÖREBRO LÄN</t>
        </is>
      </c>
      <c r="E55" t="inlineStr">
        <is>
          <t>KARLSKOGA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61271-2022</t>
        </is>
      </c>
      <c r="B56" s="1" t="n">
        <v>44909</v>
      </c>
      <c r="C56" s="1" t="n">
        <v>46182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48168-2024</t>
        </is>
      </c>
      <c r="B57" s="1" t="n">
        <v>45589.74410879629</v>
      </c>
      <c r="C57" s="1" t="n">
        <v>46182</v>
      </c>
      <c r="D57" t="inlineStr">
        <is>
          <t>ÖREBRO LÄN</t>
        </is>
      </c>
      <c r="E57" t="inlineStr">
        <is>
          <t>KARLSKOGA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46182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46182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46182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46182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27498-2025</t>
        </is>
      </c>
      <c r="B62" s="1" t="n">
        <v>45813</v>
      </c>
      <c r="C62" s="1" t="n">
        <v>46182</v>
      </c>
      <c r="D62" t="inlineStr">
        <is>
          <t>ÖREBRO LÄN</t>
        </is>
      </c>
      <c r="E62" t="inlineStr">
        <is>
          <t>KARLSKOGA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9510-2023</t>
        </is>
      </c>
      <c r="B63" s="1" t="n">
        <v>44981.64696759259</v>
      </c>
      <c r="C63" s="1" t="n">
        <v>46182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24255-2024</t>
        </is>
      </c>
      <c r="B64" s="1" t="n">
        <v>45457.39487268519</v>
      </c>
      <c r="C64" s="1" t="n">
        <v>46182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18955-2025</t>
        </is>
      </c>
      <c r="B65" s="1" t="n">
        <v>45764.51512731481</v>
      </c>
      <c r="C65" s="1" t="n">
        <v>46182</v>
      </c>
      <c r="D65" t="inlineStr">
        <is>
          <t>ÖREBRO LÄN</t>
        </is>
      </c>
      <c r="E65" t="inlineStr">
        <is>
          <t>KARLSKOGA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50614-2024</t>
        </is>
      </c>
      <c r="B66" s="1" t="n">
        <v>45601.63342592592</v>
      </c>
      <c r="C66" s="1" t="n">
        <v>46182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55182-2024</t>
        </is>
      </c>
      <c r="B67" s="1" t="n">
        <v>45618</v>
      </c>
      <c r="C67" s="1" t="n">
        <v>46182</v>
      </c>
      <c r="D67" t="inlineStr">
        <is>
          <t>ÖREBRO LÄN</t>
        </is>
      </c>
      <c r="E67" t="inlineStr">
        <is>
          <t>KARLSKOGA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1309-2024</t>
        </is>
      </c>
      <c r="B68" s="1" t="n">
        <v>45303</v>
      </c>
      <c r="C68" s="1" t="n">
        <v>46182</v>
      </c>
      <c r="D68" t="inlineStr">
        <is>
          <t>ÖREBRO LÄN</t>
        </is>
      </c>
      <c r="E68" t="inlineStr">
        <is>
          <t>KARLSKOGA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4058-2022</t>
        </is>
      </c>
      <c r="B69" s="1" t="n">
        <v>44588</v>
      </c>
      <c r="C69" s="1" t="n">
        <v>46182</v>
      </c>
      <c r="D69" t="inlineStr">
        <is>
          <t>ÖREBRO LÄN</t>
        </is>
      </c>
      <c r="E69" t="inlineStr">
        <is>
          <t>KARLSKOGA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23620-2024</t>
        </is>
      </c>
      <c r="B70" s="1" t="n">
        <v>45454</v>
      </c>
      <c r="C70" s="1" t="n">
        <v>46182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53647-2023</t>
        </is>
      </c>
      <c r="B71" s="1" t="n">
        <v>45230.6046875</v>
      </c>
      <c r="C71" s="1" t="n">
        <v>46182</v>
      </c>
      <c r="D71" t="inlineStr">
        <is>
          <t>ÖREBRO LÄN</t>
        </is>
      </c>
      <c r="E71" t="inlineStr">
        <is>
          <t>KARLSKOGA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39936-2024</t>
        </is>
      </c>
      <c r="B72" s="1" t="n">
        <v>45553.56512731482</v>
      </c>
      <c r="C72" s="1" t="n">
        <v>46182</v>
      </c>
      <c r="D72" t="inlineStr">
        <is>
          <t>ÖREBRO LÄN</t>
        </is>
      </c>
      <c r="E72" t="inlineStr">
        <is>
          <t>KARLSKOGA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30102-2025</t>
        </is>
      </c>
      <c r="B73" s="1" t="n">
        <v>45826.68414351852</v>
      </c>
      <c r="C73" s="1" t="n">
        <v>46182</v>
      </c>
      <c r="D73" t="inlineStr">
        <is>
          <t>ÖREBRO LÄN</t>
        </is>
      </c>
      <c r="E73" t="inlineStr">
        <is>
          <t>KARLSKOGA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34585-2021</t>
        </is>
      </c>
      <c r="B74" s="1" t="n">
        <v>44382.47526620371</v>
      </c>
      <c r="C74" s="1" t="n">
        <v>46182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54680-2021</t>
        </is>
      </c>
      <c r="B75" s="1" t="n">
        <v>44473</v>
      </c>
      <c r="C75" s="1" t="n">
        <v>46182</v>
      </c>
      <c r="D75" t="inlineStr">
        <is>
          <t>ÖREBRO LÄN</t>
        </is>
      </c>
      <c r="E75" t="inlineStr">
        <is>
          <t>KARLSKOGA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46182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31397-2025</t>
        </is>
      </c>
      <c r="B77" s="1" t="n">
        <v>45833</v>
      </c>
      <c r="C77" s="1" t="n">
        <v>46182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32287-2025</t>
        </is>
      </c>
      <c r="B78" s="1" t="n">
        <v>45835.6914699074</v>
      </c>
      <c r="C78" s="1" t="n">
        <v>46182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46605-2021</t>
        </is>
      </c>
      <c r="B79" s="1" t="n">
        <v>44445.55292824074</v>
      </c>
      <c r="C79" s="1" t="n">
        <v>46182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3227-2025</t>
        </is>
      </c>
      <c r="B80" s="1" t="n">
        <v>45679</v>
      </c>
      <c r="C80" s="1" t="n">
        <v>46182</v>
      </c>
      <c r="D80" t="inlineStr">
        <is>
          <t>ÖREBRO LÄN</t>
        </is>
      </c>
      <c r="E80" t="inlineStr">
        <is>
          <t>KARLSKOGA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35444-2024</t>
        </is>
      </c>
      <c r="B81" s="1" t="n">
        <v>45531.43599537037</v>
      </c>
      <c r="C81" s="1" t="n">
        <v>46182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23263-2022</t>
        </is>
      </c>
      <c r="B82" s="1" t="n">
        <v>44720.40815972222</v>
      </c>
      <c r="C82" s="1" t="n">
        <v>46182</v>
      </c>
      <c r="D82" t="inlineStr">
        <is>
          <t>ÖREBRO LÄN</t>
        </is>
      </c>
      <c r="E82" t="inlineStr">
        <is>
          <t>KARLSKOGA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28100-2024</t>
        </is>
      </c>
      <c r="B83" s="1" t="n">
        <v>45476.61674768518</v>
      </c>
      <c r="C83" s="1" t="n">
        <v>46182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44946-2025</t>
        </is>
      </c>
      <c r="B84" s="1" t="n">
        <v>45918.6046875</v>
      </c>
      <c r="C84" s="1" t="n">
        <v>46182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1106-2024</t>
        </is>
      </c>
      <c r="B85" s="1" t="n">
        <v>45302</v>
      </c>
      <c r="C85" s="1" t="n">
        <v>46182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39030-2022</t>
        </is>
      </c>
      <c r="B86" s="1" t="n">
        <v>44817.34023148148</v>
      </c>
      <c r="C86" s="1" t="n">
        <v>46182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47201-2023</t>
        </is>
      </c>
      <c r="B87" s="1" t="n">
        <v>45196</v>
      </c>
      <c r="C87" s="1" t="n">
        <v>46182</v>
      </c>
      <c r="D87" t="inlineStr">
        <is>
          <t>ÖREBRO LÄN</t>
        </is>
      </c>
      <c r="E87" t="inlineStr">
        <is>
          <t>KARLSKOGA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44949-2025</t>
        </is>
      </c>
      <c r="B88" s="1" t="n">
        <v>45918.60568287037</v>
      </c>
      <c r="C88" s="1" t="n">
        <v>46182</v>
      </c>
      <c r="D88" t="inlineStr">
        <is>
          <t>ÖREBRO LÄN</t>
        </is>
      </c>
      <c r="E88" t="inlineStr">
        <is>
          <t>KARLSKOGA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38382-2022</t>
        </is>
      </c>
      <c r="B89" s="1" t="n">
        <v>44812</v>
      </c>
      <c r="C89" s="1" t="n">
        <v>46182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61396-2023</t>
        </is>
      </c>
      <c r="B90" s="1" t="n">
        <v>45264.64989583333</v>
      </c>
      <c r="C90" s="1" t="n">
        <v>46182</v>
      </c>
      <c r="D90" t="inlineStr">
        <is>
          <t>ÖREBRO LÄN</t>
        </is>
      </c>
      <c r="E90" t="inlineStr">
        <is>
          <t>KARLSKOGA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8259-2025</t>
        </is>
      </c>
      <c r="B91" s="1" t="n">
        <v>45708.50091435185</v>
      </c>
      <c r="C91" s="1" t="n">
        <v>46182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24116-2024</t>
        </is>
      </c>
      <c r="B92" s="1" t="n">
        <v>45456</v>
      </c>
      <c r="C92" s="1" t="n">
        <v>46182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16881-2023</t>
        </is>
      </c>
      <c r="B93" s="1" t="n">
        <v>45033</v>
      </c>
      <c r="C93" s="1" t="n">
        <v>46182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35930-2023</t>
        </is>
      </c>
      <c r="B94" s="1" t="n">
        <v>45148</v>
      </c>
      <c r="C94" s="1" t="n">
        <v>46182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63863-2023</t>
        </is>
      </c>
      <c r="B95" s="1" t="n">
        <v>45278.50163194445</v>
      </c>
      <c r="C95" s="1" t="n">
        <v>46182</v>
      </c>
      <c r="D95" t="inlineStr">
        <is>
          <t>ÖREBRO LÄN</t>
        </is>
      </c>
      <c r="E95" t="inlineStr">
        <is>
          <t>KARLSKOGA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57422-2021</t>
        </is>
      </c>
      <c r="B96" s="1" t="n">
        <v>44483</v>
      </c>
      <c r="C96" s="1" t="n">
        <v>46182</v>
      </c>
      <c r="D96" t="inlineStr">
        <is>
          <t>ÖREBRO LÄN</t>
        </is>
      </c>
      <c r="E96" t="inlineStr">
        <is>
          <t>KARLSKOGA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8244-2025</t>
        </is>
      </c>
      <c r="B97" s="1" t="n">
        <v>45708.4852662037</v>
      </c>
      <c r="C97" s="1" t="n">
        <v>46182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38190-2024</t>
        </is>
      </c>
      <c r="B98" s="1" t="n">
        <v>45545.49076388889</v>
      </c>
      <c r="C98" s="1" t="n">
        <v>46182</v>
      </c>
      <c r="D98" t="inlineStr">
        <is>
          <t>ÖREBRO LÄN</t>
        </is>
      </c>
      <c r="E98" t="inlineStr">
        <is>
          <t>KARLSKOGA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20463-2025</t>
        </is>
      </c>
      <c r="B99" s="1" t="n">
        <v>45775.53664351852</v>
      </c>
      <c r="C99" s="1" t="n">
        <v>46182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1788-2026</t>
        </is>
      </c>
      <c r="B100" s="1" t="n">
        <v>46034.87616898148</v>
      </c>
      <c r="C100" s="1" t="n">
        <v>46182</v>
      </c>
      <c r="D100" t="inlineStr">
        <is>
          <t>ÖREBRO LÄN</t>
        </is>
      </c>
      <c r="E100" t="inlineStr">
        <is>
          <t>KARLSKOGA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45257.67357638889</v>
      </c>
      <c r="C101" s="1" t="n">
        <v>46182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35470-2024</t>
        </is>
      </c>
      <c r="B102" s="1" t="n">
        <v>45531.46973379629</v>
      </c>
      <c r="C102" s="1" t="n">
        <v>46182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52828-2024</t>
        </is>
      </c>
      <c r="B103" s="1" t="n">
        <v>45610.59295138889</v>
      </c>
      <c r="C103" s="1" t="n">
        <v>46182</v>
      </c>
      <c r="D103" t="inlineStr">
        <is>
          <t>ÖREBRO LÄN</t>
        </is>
      </c>
      <c r="E103" t="inlineStr">
        <is>
          <t>KARLSKOGA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45664-2025</t>
        </is>
      </c>
      <c r="B104" s="1" t="n">
        <v>45923.34690972222</v>
      </c>
      <c r="C104" s="1" t="n">
        <v>46182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50958-2025</t>
        </is>
      </c>
      <c r="B105" s="1" t="n">
        <v>45946.78709490741</v>
      </c>
      <c r="C105" s="1" t="n">
        <v>46182</v>
      </c>
      <c r="D105" t="inlineStr">
        <is>
          <t>ÖREBRO LÄN</t>
        </is>
      </c>
      <c r="E105" t="inlineStr">
        <is>
          <t>KARLSKOGA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2911-2026</t>
        </is>
      </c>
      <c r="B106" s="1" t="n">
        <v>46038.56614583333</v>
      </c>
      <c r="C106" s="1" t="n">
        <v>46182</v>
      </c>
      <c r="D106" t="inlineStr">
        <is>
          <t>ÖREBRO LÄN</t>
        </is>
      </c>
      <c r="E106" t="inlineStr">
        <is>
          <t>KARLSKOGA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35445-2024</t>
        </is>
      </c>
      <c r="B107" s="1" t="n">
        <v>45531.43599537037</v>
      </c>
      <c r="C107" s="1" t="n">
        <v>46182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47094-2023</t>
        </is>
      </c>
      <c r="B108" s="1" t="n">
        <v>45196</v>
      </c>
      <c r="C108" s="1" t="n">
        <v>46182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38196-2024</t>
        </is>
      </c>
      <c r="B109" s="1" t="n">
        <v>45545.49483796296</v>
      </c>
      <c r="C109" s="1" t="n">
        <v>46182</v>
      </c>
      <c r="D109" t="inlineStr">
        <is>
          <t>ÖREBRO LÄN</t>
        </is>
      </c>
      <c r="E109" t="inlineStr">
        <is>
          <t>KARLSKOGA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15256-2025</t>
        </is>
      </c>
      <c r="B110" s="1" t="n">
        <v>45744.65391203704</v>
      </c>
      <c r="C110" s="1" t="n">
        <v>46182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50611-2024</t>
        </is>
      </c>
      <c r="B111" s="1" t="n">
        <v>45601.63069444444</v>
      </c>
      <c r="C111" s="1" t="n">
        <v>46182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47222-2024</t>
        </is>
      </c>
      <c r="B112" s="1" t="n">
        <v>45586</v>
      </c>
      <c r="C112" s="1" t="n">
        <v>46182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24115-2024</t>
        </is>
      </c>
      <c r="B113" s="1" t="n">
        <v>45456</v>
      </c>
      <c r="C113" s="1" t="n">
        <v>46182</v>
      </c>
      <c r="D113" t="inlineStr">
        <is>
          <t>ÖREBRO LÄN</t>
        </is>
      </c>
      <c r="E113" t="inlineStr">
        <is>
          <t>KARLSKOGA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52379-2025</t>
        </is>
      </c>
      <c r="B114" s="1" t="n">
        <v>45953.94826388889</v>
      </c>
      <c r="C114" s="1" t="n">
        <v>46182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20289-2024</t>
        </is>
      </c>
      <c r="B115" s="1" t="n">
        <v>45435.30835648148</v>
      </c>
      <c r="C115" s="1" t="n">
        <v>46182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52797-2021</t>
        </is>
      </c>
      <c r="B116" s="1" t="n">
        <v>44467.37496527778</v>
      </c>
      <c r="C116" s="1" t="n">
        <v>46182</v>
      </c>
      <c r="D116" t="inlineStr">
        <is>
          <t>ÖREBRO LÄN</t>
        </is>
      </c>
      <c r="E116" t="inlineStr">
        <is>
          <t>KARLSKOGA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55025-2025</t>
        </is>
      </c>
      <c r="B117" s="1" t="n">
        <v>45967.63591435185</v>
      </c>
      <c r="C117" s="1" t="n">
        <v>46182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20086-2024</t>
        </is>
      </c>
      <c r="B118" s="1" t="n">
        <v>45434</v>
      </c>
      <c r="C118" s="1" t="n">
        <v>46182</v>
      </c>
      <c r="D118" t="inlineStr">
        <is>
          <t>ÖREBRO LÄN</t>
        </is>
      </c>
      <c r="E118" t="inlineStr">
        <is>
          <t>KARLSKOGA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13496-2025</t>
        </is>
      </c>
      <c r="B119" s="1" t="n">
        <v>45736.44390046296</v>
      </c>
      <c r="C119" s="1" t="n">
        <v>46182</v>
      </c>
      <c r="D119" t="inlineStr">
        <is>
          <t>ÖREBRO LÄN</t>
        </is>
      </c>
      <c r="E119" t="inlineStr">
        <is>
          <t>KARLSKOGA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18768-2025</t>
        </is>
      </c>
      <c r="B120" s="1" t="n">
        <v>45764.29767361111</v>
      </c>
      <c r="C120" s="1" t="n">
        <v>46182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56887-2022</t>
        </is>
      </c>
      <c r="B121" s="1" t="n">
        <v>44894.57006944445</v>
      </c>
      <c r="C121" s="1" t="n">
        <v>46182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4801-2024</t>
        </is>
      </c>
      <c r="B122" s="1" t="n">
        <v>45328.89141203704</v>
      </c>
      <c r="C122" s="1" t="n">
        <v>46182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4802-2024</t>
        </is>
      </c>
      <c r="B123" s="1" t="n">
        <v>45328.8962962963</v>
      </c>
      <c r="C123" s="1" t="n">
        <v>46182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8990-2023</t>
        </is>
      </c>
      <c r="B124" s="1" t="n">
        <v>44979.55237268518</v>
      </c>
      <c r="C124" s="1" t="n">
        <v>46182</v>
      </c>
      <c r="D124" t="inlineStr">
        <is>
          <t>ÖREBRO LÄN</t>
        </is>
      </c>
      <c r="E124" t="inlineStr">
        <is>
          <t>KARLSKOGA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42802-2023</t>
        </is>
      </c>
      <c r="B125" s="1" t="n">
        <v>45182</v>
      </c>
      <c r="C125" s="1" t="n">
        <v>46182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9917-2026</t>
        </is>
      </c>
      <c r="B126" s="1" t="n">
        <v>46073.4390162037</v>
      </c>
      <c r="C126" s="1" t="n">
        <v>46182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28471-2023</t>
        </is>
      </c>
      <c r="B127" s="1" t="n">
        <v>45103.41175925926</v>
      </c>
      <c r="C127" s="1" t="n">
        <v>46182</v>
      </c>
      <c r="D127" t="inlineStr">
        <is>
          <t>ÖREBRO LÄN</t>
        </is>
      </c>
      <c r="E127" t="inlineStr">
        <is>
          <t>KARLSKOGA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22867-2022</t>
        </is>
      </c>
      <c r="B128" s="1" t="n">
        <v>44715.49313657408</v>
      </c>
      <c r="C128" s="1" t="n">
        <v>46182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59522-2025</t>
        </is>
      </c>
      <c r="B129" s="1" t="n">
        <v>45989.6597800926</v>
      </c>
      <c r="C129" s="1" t="n">
        <v>46182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46182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48707-2024</t>
        </is>
      </c>
      <c r="B131" s="1" t="n">
        <v>45593.53480324074</v>
      </c>
      <c r="C131" s="1" t="n">
        <v>46182</v>
      </c>
      <c r="D131" t="inlineStr">
        <is>
          <t>ÖREBRO LÄN</t>
        </is>
      </c>
      <c r="E131" t="inlineStr">
        <is>
          <t>KARLSKOGA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33011-2023</t>
        </is>
      </c>
      <c r="B132" s="1" t="n">
        <v>45125</v>
      </c>
      <c r="C132" s="1" t="n">
        <v>46182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55832-2023</t>
        </is>
      </c>
      <c r="B133" s="1" t="n">
        <v>45239.61148148148</v>
      </c>
      <c r="C133" s="1" t="n">
        <v>46182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60506-2025</t>
        </is>
      </c>
      <c r="B134" s="1" t="n">
        <v>45995.62744212963</v>
      </c>
      <c r="C134" s="1" t="n">
        <v>46182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60508-2025</t>
        </is>
      </c>
      <c r="B135" s="1" t="n">
        <v>45995.63013888889</v>
      </c>
      <c r="C135" s="1" t="n">
        <v>46182</v>
      </c>
      <c r="D135" t="inlineStr">
        <is>
          <t>ÖREBRO LÄN</t>
        </is>
      </c>
      <c r="E135" t="inlineStr">
        <is>
          <t>KARLSKOGA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60503-2025</t>
        </is>
      </c>
      <c r="B136" s="1" t="n">
        <v>45995.62199074074</v>
      </c>
      <c r="C136" s="1" t="n">
        <v>46182</v>
      </c>
      <c r="D136" t="inlineStr">
        <is>
          <t>ÖREBRO LÄN</t>
        </is>
      </c>
      <c r="E136" t="inlineStr">
        <is>
          <t>KARLSKOGA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41777-2021</t>
        </is>
      </c>
      <c r="B137" s="1" t="n">
        <v>44425.65414351852</v>
      </c>
      <c r="C137" s="1" t="n">
        <v>46182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41779-2021</t>
        </is>
      </c>
      <c r="B138" s="1" t="n">
        <v>44425.655625</v>
      </c>
      <c r="C138" s="1" t="n">
        <v>46182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58388-2024</t>
        </is>
      </c>
      <c r="B139" s="1" t="n">
        <v>45633.64746527778</v>
      </c>
      <c r="C139" s="1" t="n">
        <v>46182</v>
      </c>
      <c r="D139" t="inlineStr">
        <is>
          <t>ÖREBRO LÄN</t>
        </is>
      </c>
      <c r="E139" t="inlineStr">
        <is>
          <t>KARLSKOGA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51344-2023</t>
        </is>
      </c>
      <c r="B140" s="1" t="n">
        <v>45219.59462962963</v>
      </c>
      <c r="C140" s="1" t="n">
        <v>46182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3239-2026</t>
        </is>
      </c>
      <c r="B141" s="1" t="n">
        <v>46041</v>
      </c>
      <c r="C141" s="1" t="n">
        <v>46182</v>
      </c>
      <c r="D141" t="inlineStr">
        <is>
          <t>ÖREBRO LÄN</t>
        </is>
      </c>
      <c r="E141" t="inlineStr">
        <is>
          <t>KARLSKOGA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61788-2025</t>
        </is>
      </c>
      <c r="B142" s="1" t="n">
        <v>46002.68515046296</v>
      </c>
      <c r="C142" s="1" t="n">
        <v>46182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18978-2025</t>
        </is>
      </c>
      <c r="B143" s="1" t="n">
        <v>45764.54626157408</v>
      </c>
      <c r="C143" s="1" t="n">
        <v>46182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46182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13473-2026</t>
        </is>
      </c>
      <c r="B145" s="1" t="n">
        <v>46094.56453703704</v>
      </c>
      <c r="C145" s="1" t="n">
        <v>46182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10515-2023</t>
        </is>
      </c>
      <c r="B146" s="1" t="n">
        <v>44987.7978125</v>
      </c>
      <c r="C146" s="1" t="n">
        <v>46182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31921-2022</t>
        </is>
      </c>
      <c r="B147" s="1" t="n">
        <v>44777</v>
      </c>
      <c r="C147" s="1" t="n">
        <v>46182</v>
      </c>
      <c r="D147" t="inlineStr">
        <is>
          <t>ÖREBRO LÄN</t>
        </is>
      </c>
      <c r="E147" t="inlineStr">
        <is>
          <t>KARLSKOGA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43075-2023</t>
        </is>
      </c>
      <c r="B148" s="1" t="n">
        <v>45182.83460648148</v>
      </c>
      <c r="C148" s="1" t="n">
        <v>46182</v>
      </c>
      <c r="D148" t="inlineStr">
        <is>
          <t>ÖREBRO LÄN</t>
        </is>
      </c>
      <c r="E148" t="inlineStr">
        <is>
          <t>KARLSKOGA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20909-2026</t>
        </is>
      </c>
      <c r="B149" s="1" t="n">
        <v>46142.46475694444</v>
      </c>
      <c r="C149" s="1" t="n">
        <v>46182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39337-2022</t>
        </is>
      </c>
      <c r="B150" s="1" t="n">
        <v>44817.72568287037</v>
      </c>
      <c r="C150" s="1" t="n">
        <v>46182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47196-2023</t>
        </is>
      </c>
      <c r="B151" s="1" t="n">
        <v>45196</v>
      </c>
      <c r="C151" s="1" t="n">
        <v>46182</v>
      </c>
      <c r="D151" t="inlineStr">
        <is>
          <t>ÖREBRO LÄN</t>
        </is>
      </c>
      <c r="E151" t="inlineStr">
        <is>
          <t>KARLSKOGA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64066-2025</t>
        </is>
      </c>
      <c r="B152" s="1" t="n">
        <v>46013</v>
      </c>
      <c r="C152" s="1" t="n">
        <v>46182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46182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63628-2025</t>
        </is>
      </c>
      <c r="B154" s="1" t="n">
        <v>46014.36813657408</v>
      </c>
      <c r="C154" s="1" t="n">
        <v>46182</v>
      </c>
      <c r="D154" t="inlineStr">
        <is>
          <t>ÖREBRO LÄN</t>
        </is>
      </c>
      <c r="E154" t="inlineStr">
        <is>
          <t>KARLSKOGA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20897-2026</t>
        </is>
      </c>
      <c r="B155" s="1" t="n">
        <v>46142.45140046296</v>
      </c>
      <c r="C155" s="1" t="n">
        <v>46182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63188-2025</t>
        </is>
      </c>
      <c r="B156" s="1" t="n">
        <v>46010.44494212963</v>
      </c>
      <c r="C156" s="1" t="n">
        <v>46182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12897-2026</t>
        </is>
      </c>
      <c r="B157" s="1" t="n">
        <v>46092.56590277778</v>
      </c>
      <c r="C157" s="1" t="n">
        <v>46182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53620-2024</t>
        </is>
      </c>
      <c r="B158" s="1" t="n">
        <v>45614.73983796296</v>
      </c>
      <c r="C158" s="1" t="n">
        <v>46182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14580-2026</t>
        </is>
      </c>
      <c r="B159" s="1" t="n">
        <v>46101.33767361111</v>
      </c>
      <c r="C159" s="1" t="n">
        <v>46182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53618-2024</t>
        </is>
      </c>
      <c r="B160" s="1" t="n">
        <v>45614.73951388889</v>
      </c>
      <c r="C160" s="1" t="n">
        <v>46182</v>
      </c>
      <c r="D160" t="inlineStr">
        <is>
          <t>ÖREBRO LÄN</t>
        </is>
      </c>
      <c r="E160" t="inlineStr">
        <is>
          <t>KARLSKOGA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21454-2026</t>
        </is>
      </c>
      <c r="B161" s="1" t="n">
        <v>46148.44011574074</v>
      </c>
      <c r="C161" s="1" t="n">
        <v>46182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21257-2026</t>
        </is>
      </c>
      <c r="B162" s="1" t="n">
        <v>46147.39248842592</v>
      </c>
      <c r="C162" s="1" t="n">
        <v>46182</v>
      </c>
      <c r="D162" t="inlineStr">
        <is>
          <t>ÖREBRO LÄN</t>
        </is>
      </c>
      <c r="E162" t="inlineStr">
        <is>
          <t>KARLSKOGA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30961-2022</t>
        </is>
      </c>
      <c r="B163" s="1" t="n">
        <v>44768</v>
      </c>
      <c r="C163" s="1" t="n">
        <v>46182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21253-2026</t>
        </is>
      </c>
      <c r="B164" s="1" t="n">
        <v>46147.38408564815</v>
      </c>
      <c r="C164" s="1" t="n">
        <v>46182</v>
      </c>
      <c r="D164" t="inlineStr">
        <is>
          <t>ÖREBRO LÄN</t>
        </is>
      </c>
      <c r="E164" t="inlineStr">
        <is>
          <t>KARLSKOGA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42803-2023</t>
        </is>
      </c>
      <c r="B165" s="1" t="n">
        <v>45182</v>
      </c>
      <c r="C165" s="1" t="n">
        <v>46182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8803-2025</t>
        </is>
      </c>
      <c r="B166" s="1" t="n">
        <v>45712.66123842593</v>
      </c>
      <c r="C166" s="1" t="n">
        <v>46182</v>
      </c>
      <c r="D166" t="inlineStr">
        <is>
          <t>ÖREBRO LÄN</t>
        </is>
      </c>
      <c r="E166" t="inlineStr">
        <is>
          <t>KARLSKOGA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16783-2026</t>
        </is>
      </c>
      <c r="B167" s="1" t="n">
        <v>46113.45881944444</v>
      </c>
      <c r="C167" s="1" t="n">
        <v>46182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16784-2026</t>
        </is>
      </c>
      <c r="B168" s="1" t="n">
        <v>46113.45974537037</v>
      </c>
      <c r="C168" s="1" t="n">
        <v>46182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16787-2026</t>
        </is>
      </c>
      <c r="B169" s="1" t="n">
        <v>46113.46074074074</v>
      </c>
      <c r="C169" s="1" t="n">
        <v>46182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16782-2026</t>
        </is>
      </c>
      <c r="B170" s="1" t="n">
        <v>46113.45819444444</v>
      </c>
      <c r="C170" s="1" t="n">
        <v>46182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13501-2025</t>
        </is>
      </c>
      <c r="B171" s="1" t="n">
        <v>45736.45362268519</v>
      </c>
      <c r="C171" s="1" t="n">
        <v>46182</v>
      </c>
      <c r="D171" t="inlineStr">
        <is>
          <t>ÖREBRO LÄN</t>
        </is>
      </c>
      <c r="E171" t="inlineStr">
        <is>
          <t>KARLSKOGA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56313-2024</t>
        </is>
      </c>
      <c r="B172" s="1" t="n">
        <v>45624</v>
      </c>
      <c r="C172" s="1" t="n">
        <v>46182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10743-2023</t>
        </is>
      </c>
      <c r="B173" s="1" t="n">
        <v>44988.70174768518</v>
      </c>
      <c r="C173" s="1" t="n">
        <v>46182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46182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14215-2024</t>
        </is>
      </c>
      <c r="B175" s="1" t="n">
        <v>45393</v>
      </c>
      <c r="C175" s="1" t="n">
        <v>46182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55191-2023</t>
        </is>
      </c>
      <c r="B176" s="1" t="n">
        <v>45237.58084490741</v>
      </c>
      <c r="C176" s="1" t="n">
        <v>46182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15062-2026</t>
        </is>
      </c>
      <c r="B177" s="1" t="n">
        <v>46104</v>
      </c>
      <c r="C177" s="1" t="n">
        <v>46182</v>
      </c>
      <c r="D177" t="inlineStr">
        <is>
          <t>ÖREBRO LÄN</t>
        </is>
      </c>
      <c r="E177" t="inlineStr">
        <is>
          <t>KARLSKOGA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17299-2026</t>
        </is>
      </c>
      <c r="B178" s="1" t="n">
        <v>46119.5665162037</v>
      </c>
      <c r="C178" s="1" t="n">
        <v>46182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10506-2025</t>
        </is>
      </c>
      <c r="B179" s="1" t="n">
        <v>45721</v>
      </c>
      <c r="C179" s="1" t="n">
        <v>46182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59025-2024</t>
        </is>
      </c>
      <c r="B180" s="1" t="n">
        <v>45636.68592592593</v>
      </c>
      <c r="C180" s="1" t="n">
        <v>46182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21247-2025</t>
        </is>
      </c>
      <c r="B181" s="1" t="n">
        <v>45779.57381944444</v>
      </c>
      <c r="C181" s="1" t="n">
        <v>46182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15058-2026</t>
        </is>
      </c>
      <c r="B182" s="1" t="n">
        <v>46104</v>
      </c>
      <c r="C182" s="1" t="n">
        <v>46182</v>
      </c>
      <c r="D182" t="inlineStr">
        <is>
          <t>ÖREBRO LÄN</t>
        </is>
      </c>
      <c r="E182" t="inlineStr">
        <is>
          <t>KARLSKOGA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15061-2026</t>
        </is>
      </c>
      <c r="B183" s="1" t="n">
        <v>46104</v>
      </c>
      <c r="C183" s="1" t="n">
        <v>46182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17261-2026</t>
        </is>
      </c>
      <c r="B184" s="1" t="n">
        <v>46119.46892361111</v>
      </c>
      <c r="C184" s="1" t="n">
        <v>46182</v>
      </c>
      <c r="D184" t="inlineStr">
        <is>
          <t>ÖREBRO LÄN</t>
        </is>
      </c>
      <c r="E184" t="inlineStr">
        <is>
          <t>KARLSKOGA</t>
        </is>
      </c>
      <c r="F184" t="inlineStr">
        <is>
          <t>Övriga Aktiebolag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15060-2026</t>
        </is>
      </c>
      <c r="B185" s="1" t="n">
        <v>46104</v>
      </c>
      <c r="C185" s="1" t="n">
        <v>46182</v>
      </c>
      <c r="D185" t="inlineStr">
        <is>
          <t>ÖREBRO LÄN</t>
        </is>
      </c>
      <c r="E185" t="inlineStr">
        <is>
          <t>KARLSKOGA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22234-2025</t>
        </is>
      </c>
      <c r="B186" s="1" t="n">
        <v>45785</v>
      </c>
      <c r="C186" s="1" t="n">
        <v>46182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38742-2023</t>
        </is>
      </c>
      <c r="B187" s="1" t="n">
        <v>45161</v>
      </c>
      <c r="C187" s="1" t="n">
        <v>46182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17910-2026</t>
        </is>
      </c>
      <c r="B188" s="1" t="n">
        <v>46122.59701388889</v>
      </c>
      <c r="C188" s="1" t="n">
        <v>46182</v>
      </c>
      <c r="D188" t="inlineStr">
        <is>
          <t>ÖREBRO LÄN</t>
        </is>
      </c>
      <c r="E188" t="inlineStr">
        <is>
          <t>KARLSKOGA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22244-2025</t>
        </is>
      </c>
      <c r="B189" s="1" t="n">
        <v>45785.67974537037</v>
      </c>
      <c r="C189" s="1" t="n">
        <v>46182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17243-2024</t>
        </is>
      </c>
      <c r="B190" s="1" t="n">
        <v>45414</v>
      </c>
      <c r="C190" s="1" t="n">
        <v>46182</v>
      </c>
      <c r="D190" t="inlineStr">
        <is>
          <t>ÖREBRO LÄN</t>
        </is>
      </c>
      <c r="E190" t="inlineStr">
        <is>
          <t>KARLSKOGA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17734-2026</t>
        </is>
      </c>
      <c r="B191" s="1" t="n">
        <v>46122.25068287037</v>
      </c>
      <c r="C191" s="1" t="n">
        <v>46182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23754-2026</t>
        </is>
      </c>
      <c r="B192" s="1" t="n">
        <v>46164.5487037037</v>
      </c>
      <c r="C192" s="1" t="n">
        <v>46182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3735-2024</t>
        </is>
      </c>
      <c r="B193" s="1" t="n">
        <v>45321</v>
      </c>
      <c r="C193" s="1" t="n">
        <v>46182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23308-2025</t>
        </is>
      </c>
      <c r="B194" s="1" t="n">
        <v>45791.6047800926</v>
      </c>
      <c r="C194" s="1" t="n">
        <v>46182</v>
      </c>
      <c r="D194" t="inlineStr">
        <is>
          <t>ÖREBRO LÄN</t>
        </is>
      </c>
      <c r="E194" t="inlineStr">
        <is>
          <t>KARLSKOGA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24666-2026</t>
        </is>
      </c>
      <c r="B195" s="1" t="n">
        <v>46171.43586805555</v>
      </c>
      <c r="C195" s="1" t="n">
        <v>46182</v>
      </c>
      <c r="D195" t="inlineStr">
        <is>
          <t>ÖREBRO LÄN</t>
        </is>
      </c>
      <c r="E195" t="inlineStr">
        <is>
          <t>KARLSKOGA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35060-2024</t>
        </is>
      </c>
      <c r="B196" s="1" t="n">
        <v>45527</v>
      </c>
      <c r="C196" s="1" t="n">
        <v>46182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21915-2025</t>
        </is>
      </c>
      <c r="B197" s="1" t="n">
        <v>45784</v>
      </c>
      <c r="C197" s="1" t="n">
        <v>46182</v>
      </c>
      <c r="D197" t="inlineStr">
        <is>
          <t>ÖREBRO LÄN</t>
        </is>
      </c>
      <c r="E197" t="inlineStr">
        <is>
          <t>KARLSKOGA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19009-2026</t>
        </is>
      </c>
      <c r="B198" s="1" t="n">
        <v>46130.29524305555</v>
      </c>
      <c r="C198" s="1" t="n">
        <v>46182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25093-2026</t>
        </is>
      </c>
      <c r="B199" s="1" t="n">
        <v>46175.33584490741</v>
      </c>
      <c r="C199" s="1" t="n">
        <v>46182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25098-2026</t>
        </is>
      </c>
      <c r="B200" s="1" t="n">
        <v>46175.34256944444</v>
      </c>
      <c r="C200" s="1" t="n">
        <v>46182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19011-2026</t>
        </is>
      </c>
      <c r="B201" s="1" t="n">
        <v>46130.29638888889</v>
      </c>
      <c r="C201" s="1" t="n">
        <v>46182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19010-2026</t>
        </is>
      </c>
      <c r="B202" s="1" t="n">
        <v>46130.29592592592</v>
      </c>
      <c r="C202" s="1" t="n">
        <v>46182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25092-2026</t>
        </is>
      </c>
      <c r="B203" s="1" t="n">
        <v>46175.33472222222</v>
      </c>
      <c r="C203" s="1" t="n">
        <v>46182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19008-2026</t>
        </is>
      </c>
      <c r="B204" s="1" t="n">
        <v>46130.29422453704</v>
      </c>
      <c r="C204" s="1" t="n">
        <v>46182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24099-2025</t>
        </is>
      </c>
      <c r="B205" s="1" t="n">
        <v>45796</v>
      </c>
      <c r="C205" s="1" t="n">
        <v>46182</v>
      </c>
      <c r="D205" t="inlineStr">
        <is>
          <t>ÖREBRO LÄN</t>
        </is>
      </c>
      <c r="E205" t="inlineStr">
        <is>
          <t>KARLSKOGA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19663-2026</t>
        </is>
      </c>
      <c r="B206" s="1" t="n">
        <v>46134.61458333334</v>
      </c>
      <c r="C206" s="1" t="n">
        <v>46182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15253-2025</t>
        </is>
      </c>
      <c r="B207" s="1" t="n">
        <v>45744</v>
      </c>
      <c r="C207" s="1" t="n">
        <v>46182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6835-2025</t>
        </is>
      </c>
      <c r="B208" s="1" t="n">
        <v>45700.78726851852</v>
      </c>
      <c r="C208" s="1" t="n">
        <v>46182</v>
      </c>
      <c r="D208" t="inlineStr">
        <is>
          <t>ÖREBRO LÄN</t>
        </is>
      </c>
      <c r="E208" t="inlineStr">
        <is>
          <t>KARLSKOGA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53619-2024</t>
        </is>
      </c>
      <c r="B209" s="1" t="n">
        <v>45614.73967592593</v>
      </c>
      <c r="C209" s="1" t="n">
        <v>46182</v>
      </c>
      <c r="D209" t="inlineStr">
        <is>
          <t>ÖREBRO LÄN</t>
        </is>
      </c>
      <c r="E209" t="inlineStr">
        <is>
          <t>KARLSKOGA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26653-2025</t>
        </is>
      </c>
      <c r="B210" s="1" t="n">
        <v>45810</v>
      </c>
      <c r="C210" s="1" t="n">
        <v>46182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917-2026</t>
        </is>
      </c>
      <c r="B211" s="1" t="n">
        <v>46030.48421296296</v>
      </c>
      <c r="C211" s="1" t="n">
        <v>46182</v>
      </c>
      <c r="D211" t="inlineStr">
        <is>
          <t>ÖREBRO LÄN</t>
        </is>
      </c>
      <c r="E211" t="inlineStr">
        <is>
          <t>KARLSKOGA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21210-2025</t>
        </is>
      </c>
      <c r="B212" s="1" t="n">
        <v>45779.48717592593</v>
      </c>
      <c r="C212" s="1" t="n">
        <v>46182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23717-2025</t>
        </is>
      </c>
      <c r="B213" s="1" t="n">
        <v>45793.39612268518</v>
      </c>
      <c r="C213" s="1" t="n">
        <v>46182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2026-06-09T09:30:14Z</dcterms:created>
  <dcterms:modified xmlns:dcterms="http://purl.org/dc/terms/" xmlns:xsi="http://www.w3.org/2001/XMLSchema-instance" xsi:type="dcterms:W3CDTF">2026-06-09T09:30:14Z</dcterms:modified>
</cp:coreProperties>
</file>