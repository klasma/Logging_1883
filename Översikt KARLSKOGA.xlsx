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45722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45722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45722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Brunpudrad nållav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45722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Garnlav
Skogstrappmossa
Tretåig hackspett
Vedflamlav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45722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45722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45722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Kolflarnlav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45722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61334-2020</t>
        </is>
      </c>
      <c r="B10" s="1" t="n">
        <v>44155</v>
      </c>
      <c r="C10" s="1" t="n">
        <v>45722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Sälgbrokmal
Skogsklocka</t>
        </is>
      </c>
      <c r="S10">
        <f>HYPERLINK("https://klasma.github.io/Logging_1883/artfynd/A 61334-2020 artfynd.xlsx", "A 61334-2020")</f>
        <v/>
      </c>
      <c r="T10">
        <f>HYPERLINK("https://klasma.github.io/Logging_1883/kartor/A 61334-2020 karta.png", "A 61334-2020")</f>
        <v/>
      </c>
      <c r="V10">
        <f>HYPERLINK("https://klasma.github.io/Logging_1883/klagomål/A 61334-2020 FSC-klagomål.docx", "A 61334-2020")</f>
        <v/>
      </c>
      <c r="W10">
        <f>HYPERLINK("https://klasma.github.io/Logging_1883/klagomålsmail/A 61334-2020 FSC-klagomål mail.docx", "A 61334-2020")</f>
        <v/>
      </c>
      <c r="X10">
        <f>HYPERLINK("https://klasma.github.io/Logging_1883/tillsyn/A 61334-2020 tillsynsbegäran.docx", "A 61334-2020")</f>
        <v/>
      </c>
      <c r="Y10">
        <f>HYPERLINK("https://klasma.github.io/Logging_1883/tillsynsmail/A 61334-2020 tillsynsbegäran mail.docx", "A 61334-2020")</f>
        <v/>
      </c>
    </row>
    <row r="11" ht="15" customHeight="1">
      <c r="A11" t="inlineStr">
        <is>
          <t>A 39825-2020</t>
        </is>
      </c>
      <c r="B11" s="1" t="n">
        <v>44067</v>
      </c>
      <c r="C11" s="1" t="n">
        <v>45722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HYPERLINK("https://klasma.github.io/Logging_1883/artfynd/A 39825-2020 artfynd.xlsx", "A 39825-2020")</f>
        <v/>
      </c>
      <c r="T11">
        <f>HYPERLINK("https://klasma.github.io/Logging_1883/kartor/A 39825-2020 karta.png", "A 39825-2020")</f>
        <v/>
      </c>
      <c r="V11">
        <f>HYPERLINK("https://klasma.github.io/Logging_1883/klagomål/A 39825-2020 FSC-klagomål.docx", "A 39825-2020")</f>
        <v/>
      </c>
      <c r="W11">
        <f>HYPERLINK("https://klasma.github.io/Logging_1883/klagomålsmail/A 39825-2020 FSC-klagomål mail.docx", "A 39825-2020")</f>
        <v/>
      </c>
      <c r="X11">
        <f>HYPERLINK("https://klasma.github.io/Logging_1883/tillsyn/A 39825-2020 tillsynsbegäran.docx", "A 39825-2020")</f>
        <v/>
      </c>
      <c r="Y11">
        <f>HYPERLINK("https://klasma.github.io/Logging_1883/tillsynsmail/A 39825-2020 tillsynsbegäran mail.docx", "A 39825-2020")</f>
        <v/>
      </c>
      <c r="Z11">
        <f>HYPERLINK("https://klasma.github.io/Logging_1883/fåglar/A 39825-2020 prioriterade fågelarter.docx", "A 39825-2020")</f>
        <v/>
      </c>
    </row>
    <row r="12" ht="15" customHeight="1">
      <c r="A12" t="inlineStr">
        <is>
          <t>A 44988-2020</t>
        </is>
      </c>
      <c r="B12" s="1" t="n">
        <v>44088</v>
      </c>
      <c r="C12" s="1" t="n">
        <v>45722</v>
      </c>
      <c r="D12" t="inlineStr">
        <is>
          <t>ÖREBRO LÄN</t>
        </is>
      </c>
      <c r="E12" t="inlineStr">
        <is>
          <t>KARLSKOGA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Långfibbla</t>
        </is>
      </c>
      <c r="S12">
        <f>HYPERLINK("https://klasma.github.io/Logging_1883/artfynd/A 44988-2020 artfynd.xlsx", "A 44988-2020")</f>
        <v/>
      </c>
      <c r="T12">
        <f>HYPERLINK("https://klasma.github.io/Logging_1883/kartor/A 44988-2020 karta.png", "A 44988-2020")</f>
        <v/>
      </c>
      <c r="V12">
        <f>HYPERLINK("https://klasma.github.io/Logging_1883/klagomål/A 44988-2020 FSC-klagomål.docx", "A 44988-2020")</f>
        <v/>
      </c>
      <c r="W12">
        <f>HYPERLINK("https://klasma.github.io/Logging_1883/klagomålsmail/A 44988-2020 FSC-klagomål mail.docx", "A 44988-2020")</f>
        <v/>
      </c>
      <c r="X12">
        <f>HYPERLINK("https://klasma.github.io/Logging_1883/tillsyn/A 44988-2020 tillsynsbegäran.docx", "A 44988-2020")</f>
        <v/>
      </c>
      <c r="Y12">
        <f>HYPERLINK("https://klasma.github.io/Logging_1883/tillsynsmail/A 44988-2020 tillsynsbegäran mail.docx", "A 44988-2020")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45722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45722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45722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45722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45722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45722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45722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45722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45722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45722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45722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45722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45722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45722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45722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45722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45722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45722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45722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45722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45722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45722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45722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45722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45722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45722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45722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45722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45722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45722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45722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45722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45722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45722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45722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45722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45722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45722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45722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45722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45722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45722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45722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45722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45722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45722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45722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45722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45722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45722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45722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45722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45722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45722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45722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45722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45722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45722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45722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45722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45722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45722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45722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45722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45722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45722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45722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45722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45722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45722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45722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45722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45722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45722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45722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45722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45722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45722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45722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45722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45722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45722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45722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45722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45722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45722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45722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45722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45722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45722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45722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45722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45722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45722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45722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45722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45722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45722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45722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45722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45722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45722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45722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45722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45722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45722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45722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45722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45722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45722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45722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45722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45722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45722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45722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45722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45722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45722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45722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45722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45722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45722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45722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45722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45722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45722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45722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45722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45722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45722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45722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45722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45722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45722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45722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45722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45722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45722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45722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45722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45722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45722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45722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45722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45722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45722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45722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45722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45722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45722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45722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45722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45722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45722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45722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45722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45722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45722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45722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45722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45722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45722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45722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45722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45722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45722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45722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45722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45722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45722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45722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45722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45722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45722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45722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45722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45722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45722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45722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45722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45722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45722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45722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45722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45722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45722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45722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45722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45722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45722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45722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45722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45722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45722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45722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45722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45722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45722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45722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45722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45722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45722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45722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45722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45722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45722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45722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45722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45722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45722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45722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45722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45722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45722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45722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45722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45722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45722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45722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45722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45722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45722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45722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45722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45722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45722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45722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45722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45722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45722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45722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45722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45722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45722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45722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45722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45722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45722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45722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45722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45722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45722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45722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45722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45722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45722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45722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45722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45722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45722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45722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45722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45722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45722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45722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45722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45722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45722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45722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45722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45722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45722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45722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45722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45722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45722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45722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45722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45722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45722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45722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45722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45722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45722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45722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45722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45722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45722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45722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45722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45722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45722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45722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45722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45722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45722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45722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45722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45722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45722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45722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45722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45722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45722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45722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45722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45722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45722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45722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45722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45722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45722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45722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45722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45722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45722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45722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45722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45722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45722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45722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45722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45722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45722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45722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45722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45722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45722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45722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45722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45722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45722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45722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45722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45722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45722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45722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45722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45722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45722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45722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45722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45722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45722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45722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45722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45722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45722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45722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45722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45722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45722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45722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45722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45722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45722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45722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45722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45722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45722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45722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45722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45722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45722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45722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45722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45722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45722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45722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45722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45722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8259-2025</t>
        </is>
      </c>
      <c r="B374" s="1" t="n">
        <v>45708</v>
      </c>
      <c r="C374" s="1" t="n">
        <v>45722</v>
      </c>
      <c r="D374" t="inlineStr">
        <is>
          <t>ÖREBRO LÄN</t>
        </is>
      </c>
      <c r="E374" t="inlineStr">
        <is>
          <t>KARLSKOGA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8244-2025</t>
        </is>
      </c>
      <c r="B375" s="1" t="n">
        <v>45708</v>
      </c>
      <c r="C375" s="1" t="n">
        <v>45722</v>
      </c>
      <c r="D375" t="inlineStr">
        <is>
          <t>ÖREBRO LÄN</t>
        </is>
      </c>
      <c r="E375" t="inlineStr">
        <is>
          <t>KARLSKOGA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45722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45722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9957-2025</t>
        </is>
      </c>
      <c r="B378" s="1" t="n">
        <v>45719</v>
      </c>
      <c r="C378" s="1" t="n">
        <v>45722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10506-2025</t>
        </is>
      </c>
      <c r="B379" s="1" t="n">
        <v>45721</v>
      </c>
      <c r="C379" s="1" t="n">
        <v>45722</v>
      </c>
      <c r="D379" t="inlineStr">
        <is>
          <t>ÖREBRO LÄN</t>
        </is>
      </c>
      <c r="E379" t="inlineStr">
        <is>
          <t>KARLSKOGA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2025-03-06T16:47:41Z</dcterms:created>
  <dcterms:modified xmlns:dcterms="http://purl.org/dc/terms/" xmlns:xsi="http://www.w3.org/2001/XMLSchema-instance" xsi:type="dcterms:W3CDTF">2025-03-06T16:47:41Z</dcterms:modified>
</cp:coreProperties>
</file>