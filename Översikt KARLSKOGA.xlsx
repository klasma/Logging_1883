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46227</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46227</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46227</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46227</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46227</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46227</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46227</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46227</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46227</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46227</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46227</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46227</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46227</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46227</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46227</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46227</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46227</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46227</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46227</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52377-2025</t>
        </is>
      </c>
      <c r="B21" t="inlineStr">
        <is>
          <t>avverkningsanmälan</t>
        </is>
      </c>
      <c r="C21" t="inlineStr">
        <is>
          <t>Föryngringsavverkning</t>
        </is>
      </c>
      <c r="D21" s="1" t="n">
        <v>45953</v>
      </c>
      <c r="E21" s="1" t="n">
        <v>46227</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58091-2022</t>
        </is>
      </c>
      <c r="B22" t="inlineStr">
        <is>
          <t>avverkningsanmälan</t>
        </is>
      </c>
      <c r="C22" t="inlineStr">
        <is>
          <t>Föryngringsavverkning</t>
        </is>
      </c>
      <c r="D22" s="1" t="n">
        <v>44900</v>
      </c>
      <c r="E22" s="1" t="n">
        <v>46227</v>
      </c>
      <c r="F22" t="inlineStr">
        <is>
          <t>ÖREBRO LÄN</t>
        </is>
      </c>
      <c r="G22" t="inlineStr">
        <is>
          <t>KARLSKOGA</t>
        </is>
      </c>
      <c r="H22" t="inlineStr">
        <is>
          <t>Sveaskog</t>
        </is>
      </c>
      <c r="I22" t="n">
        <v>2.1</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58091-2022 artfynd.xlsx", "A 58091-2022")</f>
        <v/>
      </c>
      <c r="X22">
        <f>HYPERLINK("https://klasma.github.io/Logging_1883/kartor/A 58091-2022 karta.png", "A 58091-2022")</f>
        <v/>
      </c>
      <c r="Y22">
        <f>HYPERLINK("https://klasma.github.io/Logging_1883/kartor_geotiff/A 58091-2022 georefererad karta.tif", "A 58091-2022")</f>
        <v/>
      </c>
      <c r="AA22">
        <f>HYPERLINK("https://klasma.github.io/Logging_1883/klagomål/A 58091-2022 FSC-klagomål.docx", "A 58091-2022")</f>
        <v/>
      </c>
      <c r="AB22">
        <f>HYPERLINK("https://klasma.github.io/Logging_1883/klagomålsmail/A 58091-2022 FSC-klagomål mail.docx", "A 58091-2022")</f>
        <v/>
      </c>
      <c r="AC22">
        <f>HYPERLINK("https://klasma.github.io/Logging_1883/tillsyn/A 58091-2022 tillsynsbegäran.docx", "A 58091-2022")</f>
        <v/>
      </c>
      <c r="AD22">
        <f>HYPERLINK("https://klasma.github.io/Logging_1883/tillsynsmail/A 58091-2022 tillsynsbegäran mail.docx", "A 58091-2022")</f>
        <v/>
      </c>
    </row>
    <row r="23" ht="15" customHeight="1">
      <c r="A23" t="inlineStr">
        <is>
          <t>A 28566-2024</t>
        </is>
      </c>
      <c r="B23" t="inlineStr">
        <is>
          <t>avverkningsanmälan</t>
        </is>
      </c>
      <c r="C23" t="inlineStr">
        <is>
          <t>Föryngringsavverkning</t>
        </is>
      </c>
      <c r="D23" s="1" t="n">
        <v>45478</v>
      </c>
      <c r="E23" s="1" t="n">
        <v>46227</v>
      </c>
      <c r="F23" t="inlineStr">
        <is>
          <t>ÖREBRO LÄN</t>
        </is>
      </c>
      <c r="G23" t="inlineStr">
        <is>
          <t>KARLSKOGA</t>
        </is>
      </c>
      <c r="I23" t="n">
        <v>1</v>
      </c>
      <c r="J23" t="n">
        <v>1</v>
      </c>
      <c r="K23" t="n">
        <v>0</v>
      </c>
      <c r="L23" t="n">
        <v>0</v>
      </c>
      <c r="M23" t="n">
        <v>0</v>
      </c>
      <c r="N23" t="n">
        <v>0</v>
      </c>
      <c r="O23" t="n">
        <v>0</v>
      </c>
      <c r="P23" t="n">
        <v>0</v>
      </c>
      <c r="Q23" t="n">
        <v>0</v>
      </c>
      <c r="R23" t="n">
        <v>0</v>
      </c>
      <c r="S23" t="n">
        <v>1</v>
      </c>
      <c r="T23" t="n">
        <v>1</v>
      </c>
      <c r="U23" t="n">
        <v>1</v>
      </c>
      <c r="V23" s="2" t="inlineStr">
        <is>
          <t>Ärtsångare</t>
        </is>
      </c>
      <c r="W23">
        <f>HYPERLINK("https://klasma.github.io/Logging_1883/artfynd/A 28566-2024 artfynd.xlsx", "A 28566-2024")</f>
        <v/>
      </c>
      <c r="X23">
        <f>HYPERLINK("https://klasma.github.io/Logging_1883/kartor/A 28566-2024 karta.png", "A 28566-2024")</f>
        <v/>
      </c>
      <c r="Y23">
        <f>HYPERLINK("https://klasma.github.io/Logging_1883/kartor_geotiff/A 28566-2024 georefererad karta.tif", "A 28566-2024")</f>
        <v/>
      </c>
      <c r="AA23">
        <f>HYPERLINK("https://klasma.github.io/Logging_1883/klagomål/A 28566-2024 FSC-klagomål.docx", "A 28566-2024")</f>
        <v/>
      </c>
      <c r="AB23">
        <f>HYPERLINK("https://klasma.github.io/Logging_1883/klagomålsmail/A 28566-2024 FSC-klagomål mail.docx", "A 28566-2024")</f>
        <v/>
      </c>
      <c r="AC23">
        <f>HYPERLINK("https://klasma.github.io/Logging_1883/tillsyn/A 28566-2024 tillsynsbegäran.docx", "A 28566-2024")</f>
        <v/>
      </c>
      <c r="AD23">
        <f>HYPERLINK("https://klasma.github.io/Logging_1883/tillsynsmail/A 28566-2024 tillsynsbegäran mail.docx", "A 28566-2024")</f>
        <v/>
      </c>
    </row>
    <row r="24" ht="15" customHeight="1">
      <c r="A24" t="inlineStr">
        <is>
          <t>A 63188-2025</t>
        </is>
      </c>
      <c r="B24" t="inlineStr">
        <is>
          <t>avverkningsanmälan</t>
        </is>
      </c>
      <c r="C24" t="inlineStr">
        <is>
          <t>Föryngringsavverkning</t>
        </is>
      </c>
      <c r="D24" s="1" t="n">
        <v>46010</v>
      </c>
      <c r="E24" s="1" t="n">
        <v>46227</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t="n">
        <v>2</v>
      </c>
      <c r="V24" s="2" t="inlineStr">
        <is>
          <t>Tretåig hackspett</t>
        </is>
      </c>
      <c r="W24">
        <f>HYPERLINK("https://klasma.github.io/Logging_1883/artfynd/A 63188-2025 artfynd.xlsx", "A 63188-2025")</f>
        <v/>
      </c>
      <c r="X24">
        <f>HYPERLINK("https://klasma.github.io/Logging_1883/kartor/A 63188-2025 karta.png", "A 63188-2025")</f>
        <v/>
      </c>
      <c r="Y24">
        <f>HYPERLINK("https://klasma.github.io/Logging_1883/kartor_geotiff/A 63188-2025 georefererad karta.tif", "A 63188-2025")</f>
        <v/>
      </c>
      <c r="AA24">
        <f>HYPERLINK("https://klasma.github.io/Logging_1883/klagomål/A 63188-2025 FSC-klagomål.docx", "A 63188-2025")</f>
        <v/>
      </c>
      <c r="AB24">
        <f>HYPERLINK("https://klasma.github.io/Logging_1883/klagomålsmail/A 63188-2025 FSC-klagomål mail.docx", "A 63188-2025")</f>
        <v/>
      </c>
      <c r="AC24">
        <f>HYPERLINK("https://klasma.github.io/Logging_1883/tillsyn/A 63188-2025 tillsynsbegäran.docx", "A 63188-2025")</f>
        <v/>
      </c>
      <c r="AD24">
        <f>HYPERLINK("https://klasma.github.io/Logging_1883/tillsynsmail/A 63188-2025 tillsynsbegäran mail.docx", "A 63188-2025")</f>
        <v/>
      </c>
      <c r="AE24">
        <f>HYPERLINK("https://klasma.github.io/Logging_1883/fåglar/A 63188-2025 prioriterade fågelarter.docx", "A 63188-2025")</f>
        <v/>
      </c>
    </row>
    <row r="25" ht="15" customHeight="1">
      <c r="A25" t="inlineStr">
        <is>
          <t>A 16784-2026</t>
        </is>
      </c>
      <c r="B25" t="inlineStr">
        <is>
          <t>avverkningsanmälan</t>
        </is>
      </c>
      <c r="C25" t="inlineStr">
        <is>
          <t>Föryngringsavverkning</t>
        </is>
      </c>
      <c r="D25" s="1" t="n">
        <v>46113</v>
      </c>
      <c r="E25" s="1" t="n">
        <v>46227</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46227</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46227</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20110-2026</t>
        </is>
      </c>
      <c r="B28" t="inlineStr">
        <is>
          <t>avverkningsanmälan</t>
        </is>
      </c>
      <c r="C28" t="inlineStr">
        <is>
          <t>Föryngringsavverkning</t>
        </is>
      </c>
      <c r="D28" s="1" t="n">
        <v>46136</v>
      </c>
      <c r="E28" s="1" t="n">
        <v>46227</v>
      </c>
      <c r="F28" t="inlineStr">
        <is>
          <t>ÖREBRO LÄN</t>
        </is>
      </c>
      <c r="G28" t="inlineStr">
        <is>
          <t>KARLSKOGA</t>
        </is>
      </c>
      <c r="H28" t="inlineStr">
        <is>
          <t>Sveaskog</t>
        </is>
      </c>
      <c r="I28" t="n">
        <v>5.4</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HYPERLINK("https://klasma.github.io/Logging_1883/artfynd/A 20110-2026 artfynd.xlsx", "A 20110-2026")</f>
        <v/>
      </c>
      <c r="X28">
        <f>HYPERLINK("https://klasma.github.io/Logging_1883/kartor/A 20110-2026 karta.png", "A 20110-2026")</f>
        <v/>
      </c>
      <c r="Y28">
        <f>HYPERLINK("https://klasma.github.io/Logging_1883/kartor_geotiff/A 20110-2026 georefererad karta.tif", "A 20110-2026")</f>
        <v/>
      </c>
      <c r="AA28">
        <f>HYPERLINK("https://klasma.github.io/Logging_1883/klagomål/A 20110-2026 FSC-klagomål.docx", "A 20110-2026")</f>
        <v/>
      </c>
      <c r="AB28">
        <f>HYPERLINK("https://klasma.github.io/Logging_1883/klagomålsmail/A 20110-2026 FSC-klagomål mail.docx", "A 20110-2026")</f>
        <v/>
      </c>
      <c r="AC28">
        <f>HYPERLINK("https://klasma.github.io/Logging_1883/tillsyn/A 20110-2026 tillsynsbegäran.docx", "A 20110-2026")</f>
        <v/>
      </c>
      <c r="AD28">
        <f>HYPERLINK("https://klasma.github.io/Logging_1883/tillsynsmail/A 20110-2026 tillsynsbegäran mail.docx", "A 20110-2026")</f>
        <v/>
      </c>
    </row>
    <row r="29" ht="15" customHeight="1">
      <c r="A29" t="inlineStr">
        <is>
          <t>A 21019-2026</t>
        </is>
      </c>
      <c r="B29" t="inlineStr">
        <is>
          <t>avverkningsanmälan</t>
        </is>
      </c>
      <c r="C29" t="inlineStr">
        <is>
          <t>Föryngringsavverkning</t>
        </is>
      </c>
      <c r="D29" s="1" t="n">
        <v>46145</v>
      </c>
      <c r="E29" s="1" t="n">
        <v>46227</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t="n">
        <v>0</v>
      </c>
      <c r="V29" s="2" t="inlineStr">
        <is>
          <t>Åkergroda</t>
        </is>
      </c>
      <c r="W29">
        <f>HYPERLINK("https://klasma.github.io/Logging_1883/artfynd/A 21019-2026 artfynd.xlsx", "A 21019-2026")</f>
        <v/>
      </c>
      <c r="X29">
        <f>HYPERLINK("https://klasma.github.io/Logging_1883/kartor/A 21019-2026 karta.png", "A 21019-2026")</f>
        <v/>
      </c>
      <c r="Y29">
        <f>HYPERLINK("https://klasma.github.io/Logging_1883/kartor_geotiff/A 21019-2026 georefererad karta.tif", "A 21019-2026")</f>
        <v/>
      </c>
      <c r="AA29">
        <f>HYPERLINK("https://klasma.github.io/Logging_1883/klagomål/A 21019-2026 FSC-klagomål.docx", "A 21019-2026")</f>
        <v/>
      </c>
      <c r="AB29">
        <f>HYPERLINK("https://klasma.github.io/Logging_1883/klagomålsmail/A 21019-2026 FSC-klagomål mail.docx", "A 21019-2026")</f>
        <v/>
      </c>
      <c r="AC29">
        <f>HYPERLINK("https://klasma.github.io/Logging_1883/tillsyn/A 21019-2026 tillsynsbegäran.docx", "A 21019-2026")</f>
        <v/>
      </c>
      <c r="AD29">
        <f>HYPERLINK("https://klasma.github.io/Logging_1883/tillsynsmail/A 21019-2026 tillsynsbegäran mail.docx", "A 21019-2026")</f>
        <v/>
      </c>
    </row>
    <row r="30" ht="15" customHeight="1">
      <c r="A30" t="inlineStr">
        <is>
          <t>A 40528-2024</t>
        </is>
      </c>
      <c r="B30" t="inlineStr">
        <is>
          <t>avverkningsanmälan</t>
        </is>
      </c>
      <c r="C30" t="inlineStr">
        <is>
          <t>Föryngringsavverkning</t>
        </is>
      </c>
      <c r="D30" s="1" t="n">
        <v>45555</v>
      </c>
      <c r="E30" s="1" t="n">
        <v>46227</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t="n">
        <v>1</v>
      </c>
      <c r="V30" s="2" t="inlineStr">
        <is>
          <t>Mattlummer</t>
        </is>
      </c>
      <c r="W30">
        <f>HYPERLINK("https://klasma.github.io/Logging_1883/artfynd/A 40528-2024 artfynd.xlsx", "A 40528-2024")</f>
        <v/>
      </c>
      <c r="X30">
        <f>HYPERLINK("https://klasma.github.io/Logging_1883/kartor/A 40528-2024 karta.png", "A 40528-2024")</f>
        <v/>
      </c>
      <c r="Y30">
        <f>HYPERLINK("https://klasma.github.io/Logging_1883/kartor_geotiff/A 40528-2024 georefererad karta.tif", "A 40528-2024")</f>
        <v/>
      </c>
      <c r="AA30">
        <f>HYPERLINK("https://klasma.github.io/Logging_1883/klagomål/A 40528-2024 FSC-klagomål.docx", "A 40528-2024")</f>
        <v/>
      </c>
      <c r="AB30">
        <f>HYPERLINK("https://klasma.github.io/Logging_1883/klagomålsmail/A 40528-2024 FSC-klagomål mail.docx", "A 40528-2024")</f>
        <v/>
      </c>
      <c r="AC30">
        <f>HYPERLINK("https://klasma.github.io/Logging_1883/tillsyn/A 40528-2024 tillsynsbegäran.docx", "A 40528-2024")</f>
        <v/>
      </c>
      <c r="AD30">
        <f>HYPERLINK("https://klasma.github.io/Logging_1883/tillsynsmail/A 40528-2024 tillsynsbegäran mail.docx", "A 40528-2024")</f>
        <v/>
      </c>
    </row>
    <row r="31" ht="15" customHeight="1">
      <c r="A31" t="inlineStr">
        <is>
          <t>A 30915-2026</t>
        </is>
      </c>
      <c r="B31" t="inlineStr">
        <is>
          <t>avverkningsanmälan</t>
        </is>
      </c>
      <c r="C31" t="inlineStr">
        <is>
          <t>Föryngringsavverkning</t>
        </is>
      </c>
      <c r="D31" s="1" t="n">
        <v>46213</v>
      </c>
      <c r="E31" s="1" t="n">
        <v>46227</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46227</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HYPERLINK("https://klasma.github.io/Logging_1883/artfynd/A 25093-2026 artfynd.xlsx", "A 25093-2026")</f>
        <v/>
      </c>
      <c r="X32">
        <f>HYPERLINK("https://klasma.github.io/Logging_1883/kartor/A 25093-2026 karta.png", "A 25093-2026")</f>
        <v/>
      </c>
      <c r="Y32">
        <f>HYPERLINK("https://klasma.github.io/Logging_1883/kartor_geotiff/A 25093-2026 georefererad karta.tif", "A 25093-2026")</f>
        <v/>
      </c>
      <c r="AA32">
        <f>HYPERLINK("https://klasma.github.io/Logging_1883/klagomål/A 25093-2026 FSC-klagomål.docx", "A 25093-2026")</f>
        <v/>
      </c>
      <c r="AB32">
        <f>HYPERLINK("https://klasma.github.io/Logging_1883/klagomålsmail/A 25093-2026 FSC-klagomål mail.docx", "A 25093-2026")</f>
        <v/>
      </c>
      <c r="AC32">
        <f>HYPERLINK("https://klasma.github.io/Logging_1883/tillsyn/A 25093-2026 tillsynsbegäran.docx", "A 25093-2026")</f>
        <v/>
      </c>
      <c r="AD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46227</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46227</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46227</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46227</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46227</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46227</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46227</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46227</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46227</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46227</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46227</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46227</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46227</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46227</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46227</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46227</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46227</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45117-2021</t>
        </is>
      </c>
      <c r="B50" t="inlineStr">
        <is>
          <t>avverkningsanmälan</t>
        </is>
      </c>
      <c r="C50" t="inlineStr">
        <is>
          <t>Föryngringsavverkning</t>
        </is>
      </c>
      <c r="D50" s="1" t="n">
        <v>44439</v>
      </c>
      <c r="E50" s="1" t="n">
        <v>46227</v>
      </c>
      <c r="F50" t="inlineStr">
        <is>
          <t>ÖREBRO LÄN</t>
        </is>
      </c>
      <c r="G50" t="inlineStr">
        <is>
          <t>KARLSKOGA</t>
        </is>
      </c>
      <c r="I50" t="n">
        <v>6.5</v>
      </c>
      <c r="J50" t="n">
        <v>0</v>
      </c>
      <c r="K50" t="n">
        <v>0</v>
      </c>
      <c r="L50" t="n">
        <v>0</v>
      </c>
      <c r="M50" t="n">
        <v>0</v>
      </c>
      <c r="N50" t="n">
        <v>0</v>
      </c>
      <c r="O50" t="n">
        <v>0</v>
      </c>
      <c r="P50" t="n">
        <v>0</v>
      </c>
      <c r="Q50" t="n">
        <v>0</v>
      </c>
      <c r="R50" t="n">
        <v>0</v>
      </c>
      <c r="S50" t="n">
        <v>0</v>
      </c>
      <c r="T50" t="n">
        <v>0</v>
      </c>
      <c r="U50" t="n">
        <v>0</v>
      </c>
      <c r="V50" s="2" t="inlineStr"/>
    </row>
    <row r="51" ht="15" customHeight="1">
      <c r="A51" t="inlineStr">
        <is>
          <t>A 8803-2025</t>
        </is>
      </c>
      <c r="B51" t="inlineStr">
        <is>
          <t>avverkningsanmälan</t>
        </is>
      </c>
      <c r="C51" t="inlineStr">
        <is>
          <t>Föryngringsavverkning</t>
        </is>
      </c>
      <c r="D51" s="1" t="n">
        <v>45712</v>
      </c>
      <c r="E51" s="1" t="n">
        <v>46227</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46605-2021</t>
        </is>
      </c>
      <c r="B52" t="inlineStr">
        <is>
          <t>avverkningsanmälan</t>
        </is>
      </c>
      <c r="C52" t="inlineStr">
        <is>
          <t>Avverkning för att bevara och utveckla /försöksver</t>
        </is>
      </c>
      <c r="D52" s="1" t="n">
        <v>44445</v>
      </c>
      <c r="E52" s="1" t="n">
        <v>46227</v>
      </c>
      <c r="F52" t="inlineStr">
        <is>
          <t>ÖREBRO LÄN</t>
        </is>
      </c>
      <c r="G52" t="inlineStr">
        <is>
          <t>KARLSKOGA</t>
        </is>
      </c>
      <c r="H52" t="inlineStr">
        <is>
          <t>Sveaskog</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39337-2022</t>
        </is>
      </c>
      <c r="B53" t="inlineStr">
        <is>
          <t>avverkningsanmälan</t>
        </is>
      </c>
      <c r="C53" t="inlineStr">
        <is>
          <t>Föryngringsavverkning</t>
        </is>
      </c>
      <c r="D53" s="1" t="n">
        <v>44817</v>
      </c>
      <c r="E53" s="1" t="n">
        <v>46227</v>
      </c>
      <c r="F53" t="inlineStr">
        <is>
          <t>ÖREBRO LÄN</t>
        </is>
      </c>
      <c r="G53" t="inlineStr">
        <is>
          <t>KARLSKOGA</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35445-2024</t>
        </is>
      </c>
      <c r="B54" t="inlineStr">
        <is>
          <t>avverkningsanmälan</t>
        </is>
      </c>
      <c r="C54" t="inlineStr">
        <is>
          <t>Föryngringsavverkning</t>
        </is>
      </c>
      <c r="D54" s="1" t="n">
        <v>45531</v>
      </c>
      <c r="E54" s="1" t="n">
        <v>46227</v>
      </c>
      <c r="F54" t="inlineStr">
        <is>
          <t>ÖREBRO LÄN</t>
        </is>
      </c>
      <c r="G54" t="inlineStr">
        <is>
          <t>KARLSKOGA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50958-2025</t>
        </is>
      </c>
      <c r="B55" t="inlineStr">
        <is>
          <t>avverkningsanmälan</t>
        </is>
      </c>
      <c r="C55" t="inlineStr">
        <is>
          <t>Föryngringsavverkning</t>
        </is>
      </c>
      <c r="D55" s="1" t="n">
        <v>45946</v>
      </c>
      <c r="E55" s="1" t="n">
        <v>46227</v>
      </c>
      <c r="F55" t="inlineStr">
        <is>
          <t>ÖREBRO LÄN</t>
        </is>
      </c>
      <c r="G55" t="inlineStr">
        <is>
          <t>KARLSKOGA</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17243-2024</t>
        </is>
      </c>
      <c r="B56" t="inlineStr">
        <is>
          <t>avverkningsanmälan</t>
        </is>
      </c>
      <c r="C56" t="inlineStr">
        <is>
          <t>Föryngringsavverkning</t>
        </is>
      </c>
      <c r="D56" s="1" t="n">
        <v>45414</v>
      </c>
      <c r="E56" s="1" t="n">
        <v>46227</v>
      </c>
      <c r="F56" t="inlineStr">
        <is>
          <t>ÖREBRO LÄN</t>
        </is>
      </c>
      <c r="G56" t="inlineStr">
        <is>
          <t>KARLSKOGA</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59938-2023</t>
        </is>
      </c>
      <c r="B57" t="inlineStr">
        <is>
          <t>avverkningsanmälan</t>
        </is>
      </c>
      <c r="C57" t="inlineStr">
        <is>
          <t>Föryngringsavverkning</t>
        </is>
      </c>
      <c r="D57" s="1" t="n">
        <v>45257</v>
      </c>
      <c r="E57" s="1" t="n">
        <v>46227</v>
      </c>
      <c r="F57" t="inlineStr">
        <is>
          <t>ÖREBRO LÄN</t>
        </is>
      </c>
      <c r="G57" t="inlineStr">
        <is>
          <t>KARLSKOGA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22234-2025</t>
        </is>
      </c>
      <c r="B58" t="inlineStr">
        <is>
          <t>avverkningsanmälan</t>
        </is>
      </c>
      <c r="C58" t="inlineStr">
        <is>
          <t>Föryngringsavverkning</t>
        </is>
      </c>
      <c r="D58" s="1" t="n">
        <v>45785</v>
      </c>
      <c r="E58" s="1" t="n">
        <v>46227</v>
      </c>
      <c r="F58" t="inlineStr">
        <is>
          <t>ÖREBRO LÄN</t>
        </is>
      </c>
      <c r="G58" t="inlineStr">
        <is>
          <t>KARLSKOGA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22244-2025</t>
        </is>
      </c>
      <c r="B59" t="inlineStr">
        <is>
          <t>avverkningsanmälan</t>
        </is>
      </c>
      <c r="C59" t="inlineStr">
        <is>
          <t>Föryngringsavverkning</t>
        </is>
      </c>
      <c r="D59" s="1" t="n">
        <v>45785</v>
      </c>
      <c r="E59" s="1" t="n">
        <v>46227</v>
      </c>
      <c r="F59" t="inlineStr">
        <is>
          <t>ÖREBRO LÄN</t>
        </is>
      </c>
      <c r="G59" t="inlineStr">
        <is>
          <t>KARLSKOGA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38742-2023</t>
        </is>
      </c>
      <c r="B60" t="inlineStr">
        <is>
          <t>avverkningsanmälan</t>
        </is>
      </c>
      <c r="C60" t="inlineStr">
        <is>
          <t>Avverkning för annat ändamål</t>
        </is>
      </c>
      <c r="D60" s="1" t="n">
        <v>45161</v>
      </c>
      <c r="E60" s="1" t="n">
        <v>46227</v>
      </c>
      <c r="F60" t="inlineStr">
        <is>
          <t>ÖREBRO LÄN</t>
        </is>
      </c>
      <c r="G60" t="inlineStr">
        <is>
          <t>KARLSKOGA</t>
        </is>
      </c>
      <c r="H60" t="inlineStr">
        <is>
          <t>Övriga Aktiebolag</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24255-2024</t>
        </is>
      </c>
      <c r="B61" t="inlineStr">
        <is>
          <t>avverkningsanmälan</t>
        </is>
      </c>
      <c r="C61" t="inlineStr">
        <is>
          <t>Föryngringsavverkning</t>
        </is>
      </c>
      <c r="D61" s="1" t="n">
        <v>45457</v>
      </c>
      <c r="E61" s="1" t="n">
        <v>46227</v>
      </c>
      <c r="F61" t="inlineStr">
        <is>
          <t>ÖREBRO LÄN</t>
        </is>
      </c>
      <c r="G61" t="inlineStr">
        <is>
          <t>KARLSKOGA</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3735-2024</t>
        </is>
      </c>
      <c r="B62" t="inlineStr">
        <is>
          <t>avverkningsanmälan</t>
        </is>
      </c>
      <c r="C62" t="inlineStr">
        <is>
          <t>Föryngringsavverkning</t>
        </is>
      </c>
      <c r="D62" s="1" t="n">
        <v>45321</v>
      </c>
      <c r="E62" s="1" t="n">
        <v>46227</v>
      </c>
      <c r="F62" t="inlineStr">
        <is>
          <t>ÖREBRO LÄN</t>
        </is>
      </c>
      <c r="G62" t="inlineStr">
        <is>
          <t>KARLSKOGA</t>
        </is>
      </c>
      <c r="H62" t="inlineStr">
        <is>
          <t>Övriga Aktiebolag</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56887-2022</t>
        </is>
      </c>
      <c r="B63" t="inlineStr">
        <is>
          <t>avverkningsanmälan</t>
        </is>
      </c>
      <c r="C63" t="inlineStr">
        <is>
          <t>Föryngringsavverkning</t>
        </is>
      </c>
      <c r="D63" s="1" t="n">
        <v>44894</v>
      </c>
      <c r="E63" s="1" t="n">
        <v>46227</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23308-2025</t>
        </is>
      </c>
      <c r="B64" t="inlineStr">
        <is>
          <t>avverkningsanmälan</t>
        </is>
      </c>
      <c r="C64" t="inlineStr">
        <is>
          <t>Föryngringsavverkning</t>
        </is>
      </c>
      <c r="D64" s="1" t="n">
        <v>45791</v>
      </c>
      <c r="E64" s="1" t="n">
        <v>46227</v>
      </c>
      <c r="F64" t="inlineStr">
        <is>
          <t>ÖREBRO LÄN</t>
        </is>
      </c>
      <c r="G64" t="inlineStr">
        <is>
          <t>KARLSKOGA</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38196-2024</t>
        </is>
      </c>
      <c r="B65" t="inlineStr">
        <is>
          <t>avverkningsanmälan</t>
        </is>
      </c>
      <c r="C65" t="inlineStr">
        <is>
          <t>Föryngringsavverkning</t>
        </is>
      </c>
      <c r="D65" s="1" t="n">
        <v>45545</v>
      </c>
      <c r="E65" s="1" t="n">
        <v>46227</v>
      </c>
      <c r="F65" t="inlineStr">
        <is>
          <t>ÖREBRO LÄN</t>
        </is>
      </c>
      <c r="G65" t="inlineStr">
        <is>
          <t>KARLSKOGA</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17815-2025</t>
        </is>
      </c>
      <c r="B66" t="inlineStr">
        <is>
          <t>avverkningsanmälan</t>
        </is>
      </c>
      <c r="C66" t="inlineStr">
        <is>
          <t>Föryngringsavverkning</t>
        </is>
      </c>
      <c r="D66" s="1" t="n">
        <v>45758</v>
      </c>
      <c r="E66" s="1" t="n">
        <v>46227</v>
      </c>
      <c r="F66" t="inlineStr">
        <is>
          <t>ÖREBRO LÄN</t>
        </is>
      </c>
      <c r="G66" t="inlineStr">
        <is>
          <t>KARLSKOGA</t>
        </is>
      </c>
      <c r="H66" t="inlineStr">
        <is>
          <t>Sveaskog</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20289-2024</t>
        </is>
      </c>
      <c r="B67" t="inlineStr">
        <is>
          <t>avverkningsanmälan</t>
        </is>
      </c>
      <c r="C67" t="inlineStr">
        <is>
          <t>Föryngringsavverkning</t>
        </is>
      </c>
      <c r="D67" s="1" t="n">
        <v>45435</v>
      </c>
      <c r="E67" s="1" t="n">
        <v>46227</v>
      </c>
      <c r="F67" t="inlineStr">
        <is>
          <t>ÖREBRO LÄN</t>
        </is>
      </c>
      <c r="G67" t="inlineStr">
        <is>
          <t>KARLSKOGA</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38190-2024</t>
        </is>
      </c>
      <c r="B68" t="inlineStr">
        <is>
          <t>avverkningsanmälan</t>
        </is>
      </c>
      <c r="C68" t="inlineStr">
        <is>
          <t>Föryngringsavverkning</t>
        </is>
      </c>
      <c r="D68" s="1" t="n">
        <v>45545</v>
      </c>
      <c r="E68" s="1" t="n">
        <v>46227</v>
      </c>
      <c r="F68" t="inlineStr">
        <is>
          <t>ÖREBRO LÄN</t>
        </is>
      </c>
      <c r="G68" t="inlineStr">
        <is>
          <t>KARLSKOGA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9712-2024</t>
        </is>
      </c>
      <c r="B69" t="inlineStr">
        <is>
          <t>avverkningsanmälan</t>
        </is>
      </c>
      <c r="C69" t="inlineStr">
        <is>
          <t>Föryngringsavverkning</t>
        </is>
      </c>
      <c r="D69" s="1" t="n">
        <v>45362</v>
      </c>
      <c r="E69" s="1" t="n">
        <v>46227</v>
      </c>
      <c r="F69" t="inlineStr">
        <is>
          <t>ÖREBRO LÄN</t>
        </is>
      </c>
      <c r="G69" t="inlineStr">
        <is>
          <t>KARLSKOGA</t>
        </is>
      </c>
      <c r="H69" t="inlineStr">
        <is>
          <t>Kyrkan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55025-2025</t>
        </is>
      </c>
      <c r="B70" t="inlineStr">
        <is>
          <t>avverkningsanmälan</t>
        </is>
      </c>
      <c r="C70" t="inlineStr">
        <is>
          <t>Föryngringsavverkning</t>
        </is>
      </c>
      <c r="D70" s="1" t="n">
        <v>45967</v>
      </c>
      <c r="E70" s="1" t="n">
        <v>46227</v>
      </c>
      <c r="F70" t="inlineStr">
        <is>
          <t>ÖREBRO LÄN</t>
        </is>
      </c>
      <c r="G70" t="inlineStr">
        <is>
          <t>KARLSKOGA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27498-2025</t>
        </is>
      </c>
      <c r="B71" t="inlineStr">
        <is>
          <t>avverkningsanmälan</t>
        </is>
      </c>
      <c r="C71" t="inlineStr">
        <is>
          <t>Föryngringsavverkning</t>
        </is>
      </c>
      <c r="D71" s="1" t="n">
        <v>45813</v>
      </c>
      <c r="E71" s="1" t="n">
        <v>46227</v>
      </c>
      <c r="F71" t="inlineStr">
        <is>
          <t>ÖREBRO LÄN</t>
        </is>
      </c>
      <c r="G71" t="inlineStr">
        <is>
          <t>KARLSKOGA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4058-2022</t>
        </is>
      </c>
      <c r="B72" t="inlineStr">
        <is>
          <t>avverkningsanmälan</t>
        </is>
      </c>
      <c r="C72" t="inlineStr">
        <is>
          <t>Föryngringsavverkning</t>
        </is>
      </c>
      <c r="D72" s="1" t="n">
        <v>44588</v>
      </c>
      <c r="E72" s="1" t="n">
        <v>46227</v>
      </c>
      <c r="F72" t="inlineStr">
        <is>
          <t>ÖREBRO LÄN</t>
        </is>
      </c>
      <c r="G72" t="inlineStr">
        <is>
          <t>KARLSKOGA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15256-2025</t>
        </is>
      </c>
      <c r="B73" t="inlineStr">
        <is>
          <t>avverkningsanmälan</t>
        </is>
      </c>
      <c r="C73" t="inlineStr">
        <is>
          <t>Föryngringsavverkning</t>
        </is>
      </c>
      <c r="D73" s="1" t="n">
        <v>45744</v>
      </c>
      <c r="E73" s="1" t="n">
        <v>46227</v>
      </c>
      <c r="F73" t="inlineStr">
        <is>
          <t>ÖREBRO LÄN</t>
        </is>
      </c>
      <c r="G73" t="inlineStr">
        <is>
          <t>KARLSKOGA</t>
        </is>
      </c>
      <c r="H73" t="inlineStr">
        <is>
          <t>Sveaskog</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43075-2023</t>
        </is>
      </c>
      <c r="B74" t="inlineStr">
        <is>
          <t>avverkningsanmälan</t>
        </is>
      </c>
      <c r="C74" t="inlineStr">
        <is>
          <t>Föryngringsavverkning</t>
        </is>
      </c>
      <c r="D74" s="1" t="n">
        <v>45182</v>
      </c>
      <c r="E74" s="1" t="n">
        <v>46227</v>
      </c>
      <c r="F74" t="inlineStr">
        <is>
          <t>ÖREBRO LÄN</t>
        </is>
      </c>
      <c r="G74" t="inlineStr">
        <is>
          <t>KARLSKOGA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23263-2022</t>
        </is>
      </c>
      <c r="B75" t="inlineStr">
        <is>
          <t>avverkningsanmälan</t>
        </is>
      </c>
      <c r="C75" t="inlineStr">
        <is>
          <t>Föryngringsavverkning</t>
        </is>
      </c>
      <c r="D75" s="1" t="n">
        <v>44720</v>
      </c>
      <c r="E75" s="1" t="n">
        <v>46227</v>
      </c>
      <c r="F75" t="inlineStr">
        <is>
          <t>ÖREBRO LÄN</t>
        </is>
      </c>
      <c r="G75" t="inlineStr">
        <is>
          <t>KARLSKOGA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54680-2021</t>
        </is>
      </c>
      <c r="B76" t="inlineStr">
        <is>
          <t>avverkningsanmälan</t>
        </is>
      </c>
      <c r="C76" t="inlineStr">
        <is>
          <t>Föryngringsavverkning</t>
        </is>
      </c>
      <c r="D76" s="1" t="n">
        <v>44473</v>
      </c>
      <c r="E76" s="1" t="n">
        <v>46227</v>
      </c>
      <c r="F76" t="inlineStr">
        <is>
          <t>ÖREBRO LÄN</t>
        </is>
      </c>
      <c r="G76" t="inlineStr">
        <is>
          <t>KARLSKOGA</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30102-2025</t>
        </is>
      </c>
      <c r="B77" t="inlineStr">
        <is>
          <t>avverkningsanmälan</t>
        </is>
      </c>
      <c r="C77" t="inlineStr">
        <is>
          <t>Föryngringsavverkning</t>
        </is>
      </c>
      <c r="D77" s="1" t="n">
        <v>45826</v>
      </c>
      <c r="E77" s="1" t="n">
        <v>46227</v>
      </c>
      <c r="F77" t="inlineStr">
        <is>
          <t>ÖREBRO LÄN</t>
        </is>
      </c>
      <c r="G77" t="inlineStr">
        <is>
          <t>KARLSKOGA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53647-2023</t>
        </is>
      </c>
      <c r="B78" t="inlineStr">
        <is>
          <t>avverkningsanmälan</t>
        </is>
      </c>
      <c r="C78" t="inlineStr">
        <is>
          <t>Föryngringsavverkning</t>
        </is>
      </c>
      <c r="D78" s="1" t="n">
        <v>45230</v>
      </c>
      <c r="E78" s="1" t="n">
        <v>46227</v>
      </c>
      <c r="F78" t="inlineStr">
        <is>
          <t>ÖREBRO LÄN</t>
        </is>
      </c>
      <c r="G78" t="inlineStr">
        <is>
          <t>KARLSKOGA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23620-2024</t>
        </is>
      </c>
      <c r="B79" t="inlineStr">
        <is>
          <t>avverkningsanmälan</t>
        </is>
      </c>
      <c r="C79" t="inlineStr">
        <is>
          <t>Föryngringsavverkning</t>
        </is>
      </c>
      <c r="D79" s="1" t="n">
        <v>45454</v>
      </c>
      <c r="E79" s="1" t="n">
        <v>46227</v>
      </c>
      <c r="F79" t="inlineStr">
        <is>
          <t>ÖREBRO LÄN</t>
        </is>
      </c>
      <c r="G79" t="inlineStr">
        <is>
          <t>KARLSKOGA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35444-2024</t>
        </is>
      </c>
      <c r="B80" t="inlineStr">
        <is>
          <t>avverkningsanmälan</t>
        </is>
      </c>
      <c r="C80" t="inlineStr">
        <is>
          <t>Föryngringsavverkning</t>
        </is>
      </c>
      <c r="D80" s="1" t="n">
        <v>45531</v>
      </c>
      <c r="E80" s="1" t="n">
        <v>46227</v>
      </c>
      <c r="F80" t="inlineStr">
        <is>
          <t>ÖREBRO LÄN</t>
        </is>
      </c>
      <c r="G80" t="inlineStr">
        <is>
          <t>KARLSKOGA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35471-2024</t>
        </is>
      </c>
      <c r="B81" t="inlineStr">
        <is>
          <t>avverkningsanmälan</t>
        </is>
      </c>
      <c r="C81" t="inlineStr">
        <is>
          <t>Föryngringsavverkning</t>
        </is>
      </c>
      <c r="D81" s="1" t="n">
        <v>45531</v>
      </c>
      <c r="E81" s="1" t="n">
        <v>46227</v>
      </c>
      <c r="F81" t="inlineStr">
        <is>
          <t>ÖREBRO LÄN</t>
        </is>
      </c>
      <c r="G81" t="inlineStr">
        <is>
          <t>KARLSKOGA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31397-2025</t>
        </is>
      </c>
      <c r="B82" t="inlineStr">
        <is>
          <t>avverkningsanmälan</t>
        </is>
      </c>
      <c r="C82" t="inlineStr">
        <is>
          <t>Föryngringsavverkning</t>
        </is>
      </c>
      <c r="D82" s="1" t="n">
        <v>45833</v>
      </c>
      <c r="E82" s="1" t="n">
        <v>46227</v>
      </c>
      <c r="F82" t="inlineStr">
        <is>
          <t>ÖREBRO LÄN</t>
        </is>
      </c>
      <c r="G82" t="inlineStr">
        <is>
          <t>KARLSKOGA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58390-2024</t>
        </is>
      </c>
      <c r="B83" t="inlineStr">
        <is>
          <t>avverkningsanmälan</t>
        </is>
      </c>
      <c r="C83" t="inlineStr">
        <is>
          <t>Föryngringsavverkning</t>
        </is>
      </c>
      <c r="D83" s="1" t="n">
        <v>45633</v>
      </c>
      <c r="E83" s="1" t="n">
        <v>46227</v>
      </c>
      <c r="F83" t="inlineStr">
        <is>
          <t>ÖREBRO LÄN</t>
        </is>
      </c>
      <c r="G83" t="inlineStr">
        <is>
          <t>KARLSKOGA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32287-2025</t>
        </is>
      </c>
      <c r="B84" t="inlineStr">
        <is>
          <t>avverkningsanmälan</t>
        </is>
      </c>
      <c r="C84" t="inlineStr">
        <is>
          <t>Föryngringsavverkning</t>
        </is>
      </c>
      <c r="D84" s="1" t="n">
        <v>45835</v>
      </c>
      <c r="E84" s="1" t="n">
        <v>46227</v>
      </c>
      <c r="F84" t="inlineStr">
        <is>
          <t>ÖREBRO LÄN</t>
        </is>
      </c>
      <c r="G84" t="inlineStr">
        <is>
          <t>KARLSKOGA</t>
        </is>
      </c>
      <c r="H84" t="inlineStr">
        <is>
          <t>Kyrkan</t>
        </is>
      </c>
      <c r="I84" t="n">
        <v>10.9</v>
      </c>
      <c r="J84" t="n">
        <v>0</v>
      </c>
      <c r="K84" t="n">
        <v>0</v>
      </c>
      <c r="L84" t="n">
        <v>0</v>
      </c>
      <c r="M84" t="n">
        <v>0</v>
      </c>
      <c r="N84" t="n">
        <v>0</v>
      </c>
      <c r="O84" t="n">
        <v>0</v>
      </c>
      <c r="P84" t="n">
        <v>0</v>
      </c>
      <c r="Q84" t="n">
        <v>0</v>
      </c>
      <c r="R84" t="n">
        <v>0</v>
      </c>
      <c r="S84" t="n">
        <v>0</v>
      </c>
      <c r="T84" t="n">
        <v>0</v>
      </c>
      <c r="U84" t="n">
        <v>0</v>
      </c>
      <c r="V84" s="2" t="inlineStr"/>
    </row>
    <row r="85" ht="15" customHeight="1">
      <c r="A85" t="inlineStr">
        <is>
          <t>A 59522-2025</t>
        </is>
      </c>
      <c r="B85" t="inlineStr">
        <is>
          <t>avverkningsanmälan</t>
        </is>
      </c>
      <c r="C85" t="inlineStr">
        <is>
          <t>Avverkning för att bevara och utveckla /försöksver</t>
        </is>
      </c>
      <c r="D85" s="1" t="n">
        <v>45989</v>
      </c>
      <c r="E85" s="1" t="n">
        <v>46227</v>
      </c>
      <c r="F85" t="inlineStr">
        <is>
          <t>ÖREBRO LÄN</t>
        </is>
      </c>
      <c r="G85" t="inlineStr">
        <is>
          <t>KARLSKOGA</t>
        </is>
      </c>
      <c r="H85" t="inlineStr">
        <is>
          <t>Sveaskog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18768-2025</t>
        </is>
      </c>
      <c r="B86" t="inlineStr">
        <is>
          <t>avverkningsanmälan</t>
        </is>
      </c>
      <c r="C86" t="inlineStr">
        <is>
          <t>Föryngringsavverkning</t>
        </is>
      </c>
      <c r="D86" s="1" t="n">
        <v>45764</v>
      </c>
      <c r="E86" s="1" t="n">
        <v>46227</v>
      </c>
      <c r="F86" t="inlineStr">
        <is>
          <t>ÖREBRO LÄN</t>
        </is>
      </c>
      <c r="G86" t="inlineStr">
        <is>
          <t>KARLSKOGA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42803-2023</t>
        </is>
      </c>
      <c r="B87" t="inlineStr">
        <is>
          <t>avverkningsanmälan</t>
        </is>
      </c>
      <c r="C87" t="inlineStr">
        <is>
          <t>Avverkning för att bevara och utveckla /försöksver</t>
        </is>
      </c>
      <c r="D87" s="1" t="n">
        <v>45182</v>
      </c>
      <c r="E87" s="1" t="n">
        <v>46227</v>
      </c>
      <c r="F87" t="inlineStr">
        <is>
          <t>ÖREBRO LÄN</t>
        </is>
      </c>
      <c r="G87" t="inlineStr">
        <is>
          <t>KARLSKOGA</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60503-2025</t>
        </is>
      </c>
      <c r="B88" t="inlineStr">
        <is>
          <t>avverkningsanmälan</t>
        </is>
      </c>
      <c r="C88" t="inlineStr">
        <is>
          <t>Föryngringsavverkning</t>
        </is>
      </c>
      <c r="D88" s="1" t="n">
        <v>45995</v>
      </c>
      <c r="E88" s="1" t="n">
        <v>46227</v>
      </c>
      <c r="F88" t="inlineStr">
        <is>
          <t>ÖREBRO LÄN</t>
        </is>
      </c>
      <c r="G88" t="inlineStr">
        <is>
          <t>KARLSKOGA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44946-2025</t>
        </is>
      </c>
      <c r="B89" t="inlineStr">
        <is>
          <t>avverkningsanmälan</t>
        </is>
      </c>
      <c r="C89" t="inlineStr">
        <is>
          <t>Föryngringsavverkning</t>
        </is>
      </c>
      <c r="D89" s="1" t="n">
        <v>45918</v>
      </c>
      <c r="E89" s="1" t="n">
        <v>46227</v>
      </c>
      <c r="F89" t="inlineStr">
        <is>
          <t>ÖREBRO LÄN</t>
        </is>
      </c>
      <c r="G89" t="inlineStr">
        <is>
          <t>KARLSKOGA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44949-2025</t>
        </is>
      </c>
      <c r="B90" t="inlineStr">
        <is>
          <t>avverkningsanmälan</t>
        </is>
      </c>
      <c r="C90" t="inlineStr">
        <is>
          <t>Föryngringsavverkning</t>
        </is>
      </c>
      <c r="D90" s="1" t="n">
        <v>45918</v>
      </c>
      <c r="E90" s="1" t="n">
        <v>46227</v>
      </c>
      <c r="F90" t="inlineStr">
        <is>
          <t>ÖREBRO LÄN</t>
        </is>
      </c>
      <c r="G90" t="inlineStr">
        <is>
          <t>KARLSKOGA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60508-2025</t>
        </is>
      </c>
      <c r="B91" t="inlineStr">
        <is>
          <t>avverkningsanmälan</t>
        </is>
      </c>
      <c r="C91" t="inlineStr">
        <is>
          <t>Föryngringsavverkning</t>
        </is>
      </c>
      <c r="D91" s="1" t="n">
        <v>45995</v>
      </c>
      <c r="E91" s="1" t="n">
        <v>46227</v>
      </c>
      <c r="F91" t="inlineStr">
        <is>
          <t>ÖREBRO LÄN</t>
        </is>
      </c>
      <c r="G91" t="inlineStr">
        <is>
          <t>KARLSKOGA</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60506-2025</t>
        </is>
      </c>
      <c r="B92" t="inlineStr">
        <is>
          <t>avverkningsanmälan</t>
        </is>
      </c>
      <c r="C92" t="inlineStr">
        <is>
          <t>Föryngringsavverkning</t>
        </is>
      </c>
      <c r="D92" s="1" t="n">
        <v>45995</v>
      </c>
      <c r="E92" s="1" t="n">
        <v>46227</v>
      </c>
      <c r="F92" t="inlineStr">
        <is>
          <t>ÖREBRO LÄN</t>
        </is>
      </c>
      <c r="G92" t="inlineStr">
        <is>
          <t>KARLSKOGA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61788-2025</t>
        </is>
      </c>
      <c r="B93" t="inlineStr">
        <is>
          <t>avverkningsanmälan</t>
        </is>
      </c>
      <c r="C93" t="inlineStr">
        <is>
          <t>Föryngringsavverkning</t>
        </is>
      </c>
      <c r="D93" s="1" t="n">
        <v>46002</v>
      </c>
      <c r="E93" s="1" t="n">
        <v>46227</v>
      </c>
      <c r="F93" t="inlineStr">
        <is>
          <t>ÖREBRO LÄN</t>
        </is>
      </c>
      <c r="G93" t="inlineStr">
        <is>
          <t>KARLSKOGA</t>
        </is>
      </c>
      <c r="H93" t="inlineStr">
        <is>
          <t>Kyrkan</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20086-2024</t>
        </is>
      </c>
      <c r="B94" t="inlineStr">
        <is>
          <t>avverkningsanmälan</t>
        </is>
      </c>
      <c r="C94" t="inlineStr">
        <is>
          <t>Avverkning för annat ändamål</t>
        </is>
      </c>
      <c r="D94" s="1" t="n">
        <v>45434</v>
      </c>
      <c r="E94" s="1" t="n">
        <v>46227</v>
      </c>
      <c r="F94" t="inlineStr">
        <is>
          <t>ÖREBRO LÄN</t>
        </is>
      </c>
      <c r="G94" t="inlineStr">
        <is>
          <t>KARLSKOGA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9510-2023</t>
        </is>
      </c>
      <c r="B95" t="inlineStr">
        <is>
          <t>avverkningsanmälan</t>
        </is>
      </c>
      <c r="C95" t="inlineStr">
        <is>
          <t>Föryngringsavverkning</t>
        </is>
      </c>
      <c r="D95" s="1" t="n">
        <v>44981</v>
      </c>
      <c r="E95" s="1" t="n">
        <v>46227</v>
      </c>
      <c r="F95" t="inlineStr">
        <is>
          <t>ÖREBRO LÄN</t>
        </is>
      </c>
      <c r="G95" t="inlineStr">
        <is>
          <t>KARLSKOGA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64066-2025</t>
        </is>
      </c>
      <c r="B96" t="inlineStr">
        <is>
          <t>avverkningsanmälan</t>
        </is>
      </c>
      <c r="C96" t="inlineStr">
        <is>
          <t>Avverkning för annat ändamål</t>
        </is>
      </c>
      <c r="D96" s="1" t="n">
        <v>46013</v>
      </c>
      <c r="E96" s="1" t="n">
        <v>46227</v>
      </c>
      <c r="F96" t="inlineStr">
        <is>
          <t>ÖREBRO LÄN</t>
        </is>
      </c>
      <c r="G96" t="inlineStr">
        <is>
          <t>KARLSKOGA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63628-2025</t>
        </is>
      </c>
      <c r="B97" t="inlineStr">
        <is>
          <t>avverkningsanmälan</t>
        </is>
      </c>
      <c r="C97" t="inlineStr">
        <is>
          <t>Föryngringsavverkning</t>
        </is>
      </c>
      <c r="D97" s="1" t="n">
        <v>46014</v>
      </c>
      <c r="E97" s="1" t="n">
        <v>46227</v>
      </c>
      <c r="F97" t="inlineStr">
        <is>
          <t>ÖREBRO LÄN</t>
        </is>
      </c>
      <c r="G97" t="inlineStr">
        <is>
          <t>KARLSKOGA</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59025-2024</t>
        </is>
      </c>
      <c r="B98" t="inlineStr">
        <is>
          <t>avverkningsanmälan</t>
        </is>
      </c>
      <c r="C98" t="inlineStr">
        <is>
          <t>Föryngringsavverkning</t>
        </is>
      </c>
      <c r="D98" s="1" t="n">
        <v>45636</v>
      </c>
      <c r="E98" s="1" t="n">
        <v>46227</v>
      </c>
      <c r="F98" t="inlineStr">
        <is>
          <t>ÖREBRO LÄN</t>
        </is>
      </c>
      <c r="G98" t="inlineStr">
        <is>
          <t>KARLSKOGA</t>
        </is>
      </c>
      <c r="H98" t="inlineStr">
        <is>
          <t>Kyrkan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13501-2025</t>
        </is>
      </c>
      <c r="B99" t="inlineStr">
        <is>
          <t>avverkningsanmälan</t>
        </is>
      </c>
      <c r="C99" t="inlineStr">
        <is>
          <t>Föryngringsavverkning</t>
        </is>
      </c>
      <c r="D99" s="1" t="n">
        <v>45736</v>
      </c>
      <c r="E99" s="1" t="n">
        <v>46227</v>
      </c>
      <c r="F99" t="inlineStr">
        <is>
          <t>ÖREBRO LÄN</t>
        </is>
      </c>
      <c r="G99" t="inlineStr">
        <is>
          <t>KARLSKOGA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47094-2023</t>
        </is>
      </c>
      <c r="B100" t="inlineStr">
        <is>
          <t>avverkningsanmälan</t>
        </is>
      </c>
      <c r="C100" t="inlineStr">
        <is>
          <t>Föryngringsavverkning</t>
        </is>
      </c>
      <c r="D100" s="1" t="n">
        <v>45196</v>
      </c>
      <c r="E100" s="1" t="n">
        <v>46227</v>
      </c>
      <c r="F100" t="inlineStr">
        <is>
          <t>ÖREBRO LÄN</t>
        </is>
      </c>
      <c r="G100" t="inlineStr">
        <is>
          <t>KARLSKOGA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31921-2022</t>
        </is>
      </c>
      <c r="B101" t="inlineStr">
        <is>
          <t>avverkningsanmälan</t>
        </is>
      </c>
      <c r="C101" t="inlineStr">
        <is>
          <t>Föryngringsavverkning</t>
        </is>
      </c>
      <c r="D101" s="1" t="n">
        <v>44777</v>
      </c>
      <c r="E101" s="1" t="n">
        <v>46227</v>
      </c>
      <c r="F101" t="inlineStr">
        <is>
          <t>ÖREBRO LÄN</t>
        </is>
      </c>
      <c r="G101" t="inlineStr">
        <is>
          <t>KARLSKOGA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42804-2023</t>
        </is>
      </c>
      <c r="B102" t="inlineStr">
        <is>
          <t>avverkningsanmälan</t>
        </is>
      </c>
      <c r="C102" t="inlineStr">
        <is>
          <t>Avverkning för att bevara och utveckla /försöksver</t>
        </is>
      </c>
      <c r="D102" s="1" t="n">
        <v>45182</v>
      </c>
      <c r="E102" s="1" t="n">
        <v>46227</v>
      </c>
      <c r="F102" t="inlineStr">
        <is>
          <t>ÖREBRO LÄN</t>
        </is>
      </c>
      <c r="G102" t="inlineStr">
        <is>
          <t>KARLSKOGA</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39030-2022</t>
        </is>
      </c>
      <c r="B103" t="inlineStr">
        <is>
          <t>avverkningsanmälan</t>
        </is>
      </c>
      <c r="C103" t="inlineStr">
        <is>
          <t>Föryngringsavverkning</t>
        </is>
      </c>
      <c r="D103" s="1" t="n">
        <v>44817</v>
      </c>
      <c r="E103" s="1" t="n">
        <v>46227</v>
      </c>
      <c r="F103" t="inlineStr">
        <is>
          <t>ÖREBRO LÄN</t>
        </is>
      </c>
      <c r="G103" t="inlineStr">
        <is>
          <t>KARLSKOGA</t>
        </is>
      </c>
      <c r="H103" t="inlineStr">
        <is>
          <t>Sveaskog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8244-2025</t>
        </is>
      </c>
      <c r="B104" t="inlineStr">
        <is>
          <t>avverkningsanmälan</t>
        </is>
      </c>
      <c r="C104" t="inlineStr">
        <is>
          <t>Föryngringsavverkning</t>
        </is>
      </c>
      <c r="D104" s="1" t="n">
        <v>45708</v>
      </c>
      <c r="E104" s="1" t="n">
        <v>46227</v>
      </c>
      <c r="F104" t="inlineStr">
        <is>
          <t>ÖREBRO LÄN</t>
        </is>
      </c>
      <c r="G104" t="inlineStr">
        <is>
          <t>KARLSKOGA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1788-2026</t>
        </is>
      </c>
      <c r="B105" t="inlineStr">
        <is>
          <t>avverkningsanmälan</t>
        </is>
      </c>
      <c r="C105" t="inlineStr">
        <is>
          <t>Föryngringsavverkning</t>
        </is>
      </c>
      <c r="D105" s="1" t="n">
        <v>46034</v>
      </c>
      <c r="E105" s="1" t="n">
        <v>46227</v>
      </c>
      <c r="F105" t="inlineStr">
        <is>
          <t>ÖREBRO LÄN</t>
        </is>
      </c>
      <c r="G105" t="inlineStr">
        <is>
          <t>KARLSKOGA</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28100-2024</t>
        </is>
      </c>
      <c r="B106" t="inlineStr">
        <is>
          <t>avverkningsanmälan</t>
        </is>
      </c>
      <c r="C106" t="inlineStr">
        <is>
          <t>Föryngringsavverkning</t>
        </is>
      </c>
      <c r="D106" s="1" t="n">
        <v>45476</v>
      </c>
      <c r="E106" s="1" t="n">
        <v>46227</v>
      </c>
      <c r="F106" t="inlineStr">
        <is>
          <t>ÖREBRO LÄN</t>
        </is>
      </c>
      <c r="G106" t="inlineStr">
        <is>
          <t>KARLSKOGA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51344-2023</t>
        </is>
      </c>
      <c r="B107" t="inlineStr">
        <is>
          <t>avverkningsanmälan</t>
        </is>
      </c>
      <c r="C107" t="inlineStr">
        <is>
          <t>Föryngringsavverkning</t>
        </is>
      </c>
      <c r="D107" s="1" t="n">
        <v>45219</v>
      </c>
      <c r="E107" s="1" t="n">
        <v>46227</v>
      </c>
      <c r="F107" t="inlineStr">
        <is>
          <t>ÖREBRO LÄN</t>
        </is>
      </c>
      <c r="G107" t="inlineStr">
        <is>
          <t>KARLSKOGA</t>
        </is>
      </c>
      <c r="H107" t="inlineStr">
        <is>
          <t>Övriga Aktiebolag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2911-2026</t>
        </is>
      </c>
      <c r="B108" t="inlineStr">
        <is>
          <t>avverkningsanmälan</t>
        </is>
      </c>
      <c r="C108" t="inlineStr">
        <is>
          <t>Föryngringsavverkning</t>
        </is>
      </c>
      <c r="D108" s="1" t="n">
        <v>46038</v>
      </c>
      <c r="E108" s="1" t="n">
        <v>46227</v>
      </c>
      <c r="F108" t="inlineStr">
        <is>
          <t>ÖREBRO LÄN</t>
        </is>
      </c>
      <c r="G108" t="inlineStr">
        <is>
          <t>KARLSKOGA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45664-2025</t>
        </is>
      </c>
      <c r="B109" t="inlineStr">
        <is>
          <t>avverkningsanmälan</t>
        </is>
      </c>
      <c r="C109" t="inlineStr">
        <is>
          <t>Föryngringsavverkning</t>
        </is>
      </c>
      <c r="D109" s="1" t="n">
        <v>45923</v>
      </c>
      <c r="E109" s="1" t="n">
        <v>46227</v>
      </c>
      <c r="F109" t="inlineStr">
        <is>
          <t>ÖREBRO LÄN</t>
        </is>
      </c>
      <c r="G109" t="inlineStr">
        <is>
          <t>KARLSKOGA</t>
        </is>
      </c>
      <c r="H109" t="inlineStr">
        <is>
          <t>Sveaskog</t>
        </is>
      </c>
      <c r="I109" t="n">
        <v>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41777-2021</t>
        </is>
      </c>
      <c r="B110" t="inlineStr">
        <is>
          <t>avverkningsanmälan</t>
        </is>
      </c>
      <c r="C110" t="inlineStr">
        <is>
          <t>Föryngringsavverkning</t>
        </is>
      </c>
      <c r="D110" s="1" t="n">
        <v>44425</v>
      </c>
      <c r="E110" s="1" t="n">
        <v>46227</v>
      </c>
      <c r="F110" t="inlineStr">
        <is>
          <t>ÖREBRO LÄN</t>
        </is>
      </c>
      <c r="G110" t="inlineStr">
        <is>
          <t>KARLSKOGA</t>
        </is>
      </c>
      <c r="H110" t="inlineStr">
        <is>
          <t>Sveaskog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41779-2021</t>
        </is>
      </c>
      <c r="B111" t="inlineStr">
        <is>
          <t>avverkningsanmälan</t>
        </is>
      </c>
      <c r="C111" t="inlineStr">
        <is>
          <t>Föryngringsavverkning</t>
        </is>
      </c>
      <c r="D111" s="1" t="n">
        <v>44425</v>
      </c>
      <c r="E111" s="1" t="n">
        <v>46227</v>
      </c>
      <c r="F111" t="inlineStr">
        <is>
          <t>ÖREBRO LÄN</t>
        </is>
      </c>
      <c r="G111" t="inlineStr">
        <is>
          <t>KARLSKOGA</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47222-2024</t>
        </is>
      </c>
      <c r="B112" t="inlineStr">
        <is>
          <t>avverkningsanmälan</t>
        </is>
      </c>
      <c r="C112" t="inlineStr">
        <is>
          <t>Föryngringsavverkning</t>
        </is>
      </c>
      <c r="D112" s="1" t="n">
        <v>45586</v>
      </c>
      <c r="E112" s="1" t="n">
        <v>46227</v>
      </c>
      <c r="F112" t="inlineStr">
        <is>
          <t>ÖREBRO LÄN</t>
        </is>
      </c>
      <c r="G112" t="inlineStr">
        <is>
          <t>KARLSKOGA</t>
        </is>
      </c>
      <c r="H112" t="inlineStr">
        <is>
          <t>Sveaskog</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20463-2025</t>
        </is>
      </c>
      <c r="B113" t="inlineStr">
        <is>
          <t>avverkningsanmälan</t>
        </is>
      </c>
      <c r="C113" t="inlineStr">
        <is>
          <t>Föryngringsavverkning</t>
        </is>
      </c>
      <c r="D113" s="1" t="n">
        <v>45775</v>
      </c>
      <c r="E113" s="1" t="n">
        <v>46227</v>
      </c>
      <c r="F113" t="inlineStr">
        <is>
          <t>ÖREBRO LÄN</t>
        </is>
      </c>
      <c r="G113" t="inlineStr">
        <is>
          <t>KARLSKOGA</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28471-2023</t>
        </is>
      </c>
      <c r="B114" t="inlineStr">
        <is>
          <t>avverkningsanmälan</t>
        </is>
      </c>
      <c r="C114" t="inlineStr">
        <is>
          <t>Föryngringsavverkning</t>
        </is>
      </c>
      <c r="D114" s="1" t="n">
        <v>45103</v>
      </c>
      <c r="E114" s="1" t="n">
        <v>46227</v>
      </c>
      <c r="F114" t="inlineStr">
        <is>
          <t>ÖREBRO LÄN</t>
        </is>
      </c>
      <c r="G114" t="inlineStr">
        <is>
          <t>KARLSKOGA</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16881-2023</t>
        </is>
      </c>
      <c r="B115" t="inlineStr">
        <is>
          <t>avverkningsanmälan</t>
        </is>
      </c>
      <c r="C115" t="inlineStr">
        <is>
          <t>Föryngringsavverkning</t>
        </is>
      </c>
      <c r="D115" s="1" t="n">
        <v>45033</v>
      </c>
      <c r="E115" s="1" t="n">
        <v>46227</v>
      </c>
      <c r="F115" t="inlineStr">
        <is>
          <t>ÖREBRO LÄN</t>
        </is>
      </c>
      <c r="G115" t="inlineStr">
        <is>
          <t>KARLSKOGA</t>
        </is>
      </c>
      <c r="H115" t="inlineStr">
        <is>
          <t>Kyrkan</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61396-2023</t>
        </is>
      </c>
      <c r="B116" t="inlineStr">
        <is>
          <t>avverkningsanmälan</t>
        </is>
      </c>
      <c r="C116" t="inlineStr">
        <is>
          <t>Föryngringsavverkning</t>
        </is>
      </c>
      <c r="D116" s="1" t="n">
        <v>45264</v>
      </c>
      <c r="E116" s="1" t="n">
        <v>46227</v>
      </c>
      <c r="F116" t="inlineStr">
        <is>
          <t>ÖREBRO LÄN</t>
        </is>
      </c>
      <c r="G116" t="inlineStr">
        <is>
          <t>KARLSKOGA</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4164-2022</t>
        </is>
      </c>
      <c r="B117" t="inlineStr">
        <is>
          <t>avverkningsanmälan</t>
        </is>
      </c>
      <c r="C117" t="inlineStr">
        <is>
          <t>Föryngringsavverkning</t>
        </is>
      </c>
      <c r="D117" s="1" t="n">
        <v>44588</v>
      </c>
      <c r="E117" s="1" t="n">
        <v>46227</v>
      </c>
      <c r="F117" t="inlineStr">
        <is>
          <t>ÖREBRO LÄN</t>
        </is>
      </c>
      <c r="G117" t="inlineStr">
        <is>
          <t>KARLSKOGA</t>
        </is>
      </c>
      <c r="H117" t="inlineStr">
        <is>
          <t>Kommuner</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61271-2022</t>
        </is>
      </c>
      <c r="B118" t="inlineStr">
        <is>
          <t>avverkningsanmälan</t>
        </is>
      </c>
      <c r="C118" t="inlineStr">
        <is>
          <t>Föryngringsavverkning</t>
        </is>
      </c>
      <c r="D118" s="1" t="n">
        <v>44909</v>
      </c>
      <c r="E118" s="1" t="n">
        <v>46227</v>
      </c>
      <c r="F118" t="inlineStr">
        <is>
          <t>ÖREBRO LÄN</t>
        </is>
      </c>
      <c r="G118" t="inlineStr">
        <is>
          <t>KARLSKOGA</t>
        </is>
      </c>
      <c r="H118" t="inlineStr">
        <is>
          <t>Övriga Aktiebolag</t>
        </is>
      </c>
      <c r="I118" t="n">
        <v>14.1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9917-2026</t>
        </is>
      </c>
      <c r="B119" t="inlineStr">
        <is>
          <t>avverkningsanmälan</t>
        </is>
      </c>
      <c r="C119" t="inlineStr">
        <is>
          <t>Föryngringsavverkning</t>
        </is>
      </c>
      <c r="D119" s="1" t="n">
        <v>46073</v>
      </c>
      <c r="E119" s="1" t="n">
        <v>46227</v>
      </c>
      <c r="F119" t="inlineStr">
        <is>
          <t>ÖREBRO LÄN</t>
        </is>
      </c>
      <c r="G119" t="inlineStr">
        <is>
          <t>KARLSKOGA</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57422-2021</t>
        </is>
      </c>
      <c r="B120" t="inlineStr">
        <is>
          <t>avverkningsanmälan</t>
        </is>
      </c>
      <c r="C120" t="inlineStr">
        <is>
          <t>Föryngringsavverkning</t>
        </is>
      </c>
      <c r="D120" s="1" t="n">
        <v>44483</v>
      </c>
      <c r="E120" s="1" t="n">
        <v>46227</v>
      </c>
      <c r="F120" t="inlineStr">
        <is>
          <t>ÖREBRO LÄN</t>
        </is>
      </c>
      <c r="G120" t="inlineStr">
        <is>
          <t>KARLSKOGA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35060-2024</t>
        </is>
      </c>
      <c r="B121" t="inlineStr">
        <is>
          <t>avverkningsanmälan</t>
        </is>
      </c>
      <c r="C121" t="inlineStr">
        <is>
          <t>Föryngringsavverkning</t>
        </is>
      </c>
      <c r="D121" s="1" t="n">
        <v>45527</v>
      </c>
      <c r="E121" s="1" t="n">
        <v>46227</v>
      </c>
      <c r="F121" t="inlineStr">
        <is>
          <t>ÖREBRO LÄN</t>
        </is>
      </c>
      <c r="G121" t="inlineStr">
        <is>
          <t>KARLSKOGA</t>
        </is>
      </c>
      <c r="H121" t="inlineStr">
        <is>
          <t>Kyrkan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13473-2026</t>
        </is>
      </c>
      <c r="B122" t="inlineStr">
        <is>
          <t>avverkningsanmälan</t>
        </is>
      </c>
      <c r="C122" t="inlineStr">
        <is>
          <t>Föryngringsavverkning</t>
        </is>
      </c>
      <c r="D122" s="1" t="n">
        <v>46094</v>
      </c>
      <c r="E122" s="1" t="n">
        <v>46227</v>
      </c>
      <c r="F122" t="inlineStr">
        <is>
          <t>ÖREBRO LÄN</t>
        </is>
      </c>
      <c r="G122" t="inlineStr">
        <is>
          <t>KARLSKOGA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64060-2023</t>
        </is>
      </c>
      <c r="B123" t="inlineStr">
        <is>
          <t>avverkningsanmälan</t>
        </is>
      </c>
      <c r="C123" t="inlineStr">
        <is>
          <t>Föryngringsavverkning</t>
        </is>
      </c>
      <c r="D123" s="1" t="n">
        <v>45279</v>
      </c>
      <c r="E123" s="1" t="n">
        <v>46227</v>
      </c>
      <c r="F123" t="inlineStr">
        <is>
          <t>ÖREBRO LÄN</t>
        </is>
      </c>
      <c r="G123" t="inlineStr">
        <is>
          <t>KARLSKOGA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14580-2026</t>
        </is>
      </c>
      <c r="B124" t="inlineStr">
        <is>
          <t>avverkningsanmälan</t>
        </is>
      </c>
      <c r="C124" t="inlineStr">
        <is>
          <t>Föryngringsavverkning</t>
        </is>
      </c>
      <c r="D124" s="1" t="n">
        <v>46101</v>
      </c>
      <c r="E124" s="1" t="n">
        <v>46227</v>
      </c>
      <c r="F124" t="inlineStr">
        <is>
          <t>ÖREBRO LÄN</t>
        </is>
      </c>
      <c r="G124" t="inlineStr">
        <is>
          <t>KARLSKOGA</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14215-2024</t>
        </is>
      </c>
      <c r="B125" t="inlineStr">
        <is>
          <t>avverkningsanmälan</t>
        </is>
      </c>
      <c r="C125" t="inlineStr">
        <is>
          <t>Föryngringsavverkning</t>
        </is>
      </c>
      <c r="D125" s="1" t="n">
        <v>45393</v>
      </c>
      <c r="E125" s="1" t="n">
        <v>46227</v>
      </c>
      <c r="F125" t="inlineStr">
        <is>
          <t>ÖREBRO LÄN</t>
        </is>
      </c>
      <c r="G125" t="inlineStr">
        <is>
          <t>KARLSKOGA</t>
        </is>
      </c>
      <c r="H125" t="inlineStr">
        <is>
          <t>Kommuner</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12897-2026</t>
        </is>
      </c>
      <c r="B126" t="inlineStr">
        <is>
          <t>avverkningsanmälan</t>
        </is>
      </c>
      <c r="C126" t="inlineStr">
        <is>
          <t>Föryngringsavverkning</t>
        </is>
      </c>
      <c r="D126" s="1" t="n">
        <v>46092</v>
      </c>
      <c r="E126" s="1" t="n">
        <v>46227</v>
      </c>
      <c r="F126" t="inlineStr">
        <is>
          <t>ÖREBRO LÄN</t>
        </is>
      </c>
      <c r="G126" t="inlineStr">
        <is>
          <t>KARLSKOGA</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16782-2026</t>
        </is>
      </c>
      <c r="B127" t="inlineStr">
        <is>
          <t>avverkningsanmälan</t>
        </is>
      </c>
      <c r="C127" t="inlineStr">
        <is>
          <t>Föryngringsavverkning</t>
        </is>
      </c>
      <c r="D127" s="1" t="n">
        <v>46113</v>
      </c>
      <c r="E127" s="1" t="n">
        <v>46227</v>
      </c>
      <c r="F127" t="inlineStr">
        <is>
          <t>ÖREBRO LÄN</t>
        </is>
      </c>
      <c r="G127" t="inlineStr">
        <is>
          <t>KARLSKOGA</t>
        </is>
      </c>
      <c r="H127" t="inlineStr">
        <is>
          <t>Sveaskog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16783-2026</t>
        </is>
      </c>
      <c r="B128" t="inlineStr">
        <is>
          <t>avverkningsanmälan</t>
        </is>
      </c>
      <c r="C128" t="inlineStr">
        <is>
          <t>Föryngringsavverkning</t>
        </is>
      </c>
      <c r="D128" s="1" t="n">
        <v>46113</v>
      </c>
      <c r="E128" s="1" t="n">
        <v>46227</v>
      </c>
      <c r="F128" t="inlineStr">
        <is>
          <t>ÖREBRO LÄN</t>
        </is>
      </c>
      <c r="G128" t="inlineStr">
        <is>
          <t>KARLSKOGA</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16787-2026</t>
        </is>
      </c>
      <c r="B129" t="inlineStr">
        <is>
          <t>avverkningsanmälan</t>
        </is>
      </c>
      <c r="C129" t="inlineStr">
        <is>
          <t>Föryngringsavverkning</t>
        </is>
      </c>
      <c r="D129" s="1" t="n">
        <v>46113</v>
      </c>
      <c r="E129" s="1" t="n">
        <v>46227</v>
      </c>
      <c r="F129" t="inlineStr">
        <is>
          <t>ÖREBRO LÄN</t>
        </is>
      </c>
      <c r="G129" t="inlineStr">
        <is>
          <t>KARLSKOGA</t>
        </is>
      </c>
      <c r="H129" t="inlineStr">
        <is>
          <t>Sveaskog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24116-2024</t>
        </is>
      </c>
      <c r="B130" t="inlineStr">
        <is>
          <t>avverkningsanmälan</t>
        </is>
      </c>
      <c r="C130" t="inlineStr">
        <is>
          <t>Föryngringsavverkning</t>
        </is>
      </c>
      <c r="D130" s="1" t="n">
        <v>45456</v>
      </c>
      <c r="E130" s="1" t="n">
        <v>46227</v>
      </c>
      <c r="F130" t="inlineStr">
        <is>
          <t>ÖREBRO LÄN</t>
        </is>
      </c>
      <c r="G130" t="inlineStr">
        <is>
          <t>KARLSKOGA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55832-2023</t>
        </is>
      </c>
      <c r="B131" t="inlineStr">
        <is>
          <t>avverkningsanmälan</t>
        </is>
      </c>
      <c r="C131" t="inlineStr">
        <is>
          <t>Föryngringsavverkning</t>
        </is>
      </c>
      <c r="D131" s="1" t="n">
        <v>45239</v>
      </c>
      <c r="E131" s="1" t="n">
        <v>46227</v>
      </c>
      <c r="F131" t="inlineStr">
        <is>
          <t>ÖREBRO LÄN</t>
        </is>
      </c>
      <c r="G131" t="inlineStr">
        <is>
          <t>KARLSKOGA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10515-2023</t>
        </is>
      </c>
      <c r="B132" t="inlineStr">
        <is>
          <t>avverkningsanmälan</t>
        </is>
      </c>
      <c r="C132" t="inlineStr">
        <is>
          <t>Föryngringsavverkning</t>
        </is>
      </c>
      <c r="D132" s="1" t="n">
        <v>44987</v>
      </c>
      <c r="E132" s="1" t="n">
        <v>46227</v>
      </c>
      <c r="F132" t="inlineStr">
        <is>
          <t>ÖREBRO LÄN</t>
        </is>
      </c>
      <c r="G132" t="inlineStr">
        <is>
          <t>KARLSKOGA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17299-2026</t>
        </is>
      </c>
      <c r="B133" t="inlineStr">
        <is>
          <t>avverkningsanmälan</t>
        </is>
      </c>
      <c r="C133" t="inlineStr">
        <is>
          <t>Föryngringsavverkning</t>
        </is>
      </c>
      <c r="D133" s="1" t="n">
        <v>46119</v>
      </c>
      <c r="E133" s="1" t="n">
        <v>46227</v>
      </c>
      <c r="F133" t="inlineStr">
        <is>
          <t>ÖREBRO LÄN</t>
        </is>
      </c>
      <c r="G133" t="inlineStr">
        <is>
          <t>KARLSKOGA</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15060-2026</t>
        </is>
      </c>
      <c r="B134" t="inlineStr">
        <is>
          <t>avverkningsanmälan</t>
        </is>
      </c>
      <c r="C134" t="inlineStr">
        <is>
          <t>Föryngringsavverkning</t>
        </is>
      </c>
      <c r="D134" s="1" t="n">
        <v>46104</v>
      </c>
      <c r="E134" s="1" t="n">
        <v>46227</v>
      </c>
      <c r="F134" t="inlineStr">
        <is>
          <t>ÖREBRO LÄN</t>
        </is>
      </c>
      <c r="G134" t="inlineStr">
        <is>
          <t>KARLSKOGA</t>
        </is>
      </c>
      <c r="I134" t="n">
        <v>11.5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15062-2026</t>
        </is>
      </c>
      <c r="B135" t="inlineStr">
        <is>
          <t>avverkningsanmälan</t>
        </is>
      </c>
      <c r="C135" t="inlineStr">
        <is>
          <t>Föryngringsavverkning</t>
        </is>
      </c>
      <c r="D135" s="1" t="n">
        <v>46104</v>
      </c>
      <c r="E135" s="1" t="n">
        <v>46227</v>
      </c>
      <c r="F135" t="inlineStr">
        <is>
          <t>ÖREBRO LÄN</t>
        </is>
      </c>
      <c r="G135" t="inlineStr">
        <is>
          <t>KARLSKOGA</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15058-2026</t>
        </is>
      </c>
      <c r="B136" t="inlineStr">
        <is>
          <t>avverkningsanmälan</t>
        </is>
      </c>
      <c r="C136" t="inlineStr">
        <is>
          <t>Föryngringsavverkning</t>
        </is>
      </c>
      <c r="D136" s="1" t="n">
        <v>46104</v>
      </c>
      <c r="E136" s="1" t="n">
        <v>46227</v>
      </c>
      <c r="F136" t="inlineStr">
        <is>
          <t>ÖREBRO LÄN</t>
        </is>
      </c>
      <c r="G136" t="inlineStr">
        <is>
          <t>KARLSKOGA</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15061-2026</t>
        </is>
      </c>
      <c r="B137" t="inlineStr">
        <is>
          <t>avverkningsanmälan</t>
        </is>
      </c>
      <c r="C137" t="inlineStr">
        <is>
          <t>Föryngringsavverkning</t>
        </is>
      </c>
      <c r="D137" s="1" t="n">
        <v>46104</v>
      </c>
      <c r="E137" s="1" t="n">
        <v>46227</v>
      </c>
      <c r="F137" t="inlineStr">
        <is>
          <t>ÖREBRO LÄN</t>
        </is>
      </c>
      <c r="G137" t="inlineStr">
        <is>
          <t>KARLSKOGA</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17734-2026</t>
        </is>
      </c>
      <c r="B138" t="inlineStr">
        <is>
          <t>avverkningsanmälan</t>
        </is>
      </c>
      <c r="C138" t="inlineStr">
        <is>
          <t>Föryngringsavverkning</t>
        </is>
      </c>
      <c r="D138" s="1" t="n">
        <v>46122</v>
      </c>
      <c r="E138" s="1" t="n">
        <v>46227</v>
      </c>
      <c r="F138" t="inlineStr">
        <is>
          <t>ÖREBRO LÄN</t>
        </is>
      </c>
      <c r="G138" t="inlineStr">
        <is>
          <t>KARLSKOGA</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19011-2026</t>
        </is>
      </c>
      <c r="B139" t="inlineStr">
        <is>
          <t>avverkningsanmälan</t>
        </is>
      </c>
      <c r="C139" t="inlineStr">
        <is>
          <t>Föryngringsavverkning</t>
        </is>
      </c>
      <c r="D139" s="1" t="n">
        <v>46130</v>
      </c>
      <c r="E139" s="1" t="n">
        <v>46227</v>
      </c>
      <c r="F139" t="inlineStr">
        <is>
          <t>ÖREBRO LÄN</t>
        </is>
      </c>
      <c r="G139" t="inlineStr">
        <is>
          <t>KARLSKOGA</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19010-2026</t>
        </is>
      </c>
      <c r="B140" t="inlineStr">
        <is>
          <t>avverkningsanmälan</t>
        </is>
      </c>
      <c r="C140" t="inlineStr">
        <is>
          <t>Föryngringsavverkning</t>
        </is>
      </c>
      <c r="D140" s="1" t="n">
        <v>46130</v>
      </c>
      <c r="E140" s="1" t="n">
        <v>46227</v>
      </c>
      <c r="F140" t="inlineStr">
        <is>
          <t>ÖREBRO LÄN</t>
        </is>
      </c>
      <c r="G140" t="inlineStr">
        <is>
          <t>KARLSKOGA</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19009-2026</t>
        </is>
      </c>
      <c r="B141" t="inlineStr">
        <is>
          <t>avverkningsanmälan</t>
        </is>
      </c>
      <c r="C141" t="inlineStr">
        <is>
          <t>Föryngringsavverkning</t>
        </is>
      </c>
      <c r="D141" s="1" t="n">
        <v>46130</v>
      </c>
      <c r="E141" s="1" t="n">
        <v>46227</v>
      </c>
      <c r="F141" t="inlineStr">
        <is>
          <t>ÖREBRO LÄN</t>
        </is>
      </c>
      <c r="G141" t="inlineStr">
        <is>
          <t>KARLSKOGA</t>
        </is>
      </c>
      <c r="H141" t="inlineStr">
        <is>
          <t>Sveaskog</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19008-2026</t>
        </is>
      </c>
      <c r="B142" t="inlineStr">
        <is>
          <t>avverkningsanmälan</t>
        </is>
      </c>
      <c r="C142" t="inlineStr">
        <is>
          <t>Föryngringsavverkning</t>
        </is>
      </c>
      <c r="D142" s="1" t="n">
        <v>46130</v>
      </c>
      <c r="E142" s="1" t="n">
        <v>46227</v>
      </c>
      <c r="F142" t="inlineStr">
        <is>
          <t>ÖREBRO LÄN</t>
        </is>
      </c>
      <c r="G142" t="inlineStr">
        <is>
          <t>KARLSKOGA</t>
        </is>
      </c>
      <c r="H142" t="inlineStr">
        <is>
          <t>Sveaskog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33011-2023</t>
        </is>
      </c>
      <c r="B143" t="inlineStr">
        <is>
          <t>avverkningsanmälan</t>
        </is>
      </c>
      <c r="C143" t="inlineStr">
        <is>
          <t>Föryngringsavverkning</t>
        </is>
      </c>
      <c r="D143" s="1" t="n">
        <v>45125</v>
      </c>
      <c r="E143" s="1" t="n">
        <v>46227</v>
      </c>
      <c r="F143" t="inlineStr">
        <is>
          <t>ÖREBRO LÄN</t>
        </is>
      </c>
      <c r="G143" t="inlineStr">
        <is>
          <t>KARLSKOGA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19663-2026</t>
        </is>
      </c>
      <c r="B144" t="inlineStr">
        <is>
          <t>avverkningsanmälan</t>
        </is>
      </c>
      <c r="C144" t="inlineStr">
        <is>
          <t>Föryngringsavverkning</t>
        </is>
      </c>
      <c r="D144" s="1" t="n">
        <v>46134</v>
      </c>
      <c r="E144" s="1" t="n">
        <v>46227</v>
      </c>
      <c r="F144" t="inlineStr">
        <is>
          <t>ÖREBRO LÄN</t>
        </is>
      </c>
      <c r="G144" t="inlineStr">
        <is>
          <t>KARLSKOGA</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48168-2024</t>
        </is>
      </c>
      <c r="B145" t="inlineStr">
        <is>
          <t>avverkningsanmälan</t>
        </is>
      </c>
      <c r="C145" t="inlineStr">
        <is>
          <t>Föryngringsavverkning</t>
        </is>
      </c>
      <c r="D145" s="1" t="n">
        <v>45589</v>
      </c>
      <c r="E145" s="1" t="n">
        <v>46227</v>
      </c>
      <c r="F145" t="inlineStr">
        <is>
          <t>ÖREBRO LÄN</t>
        </is>
      </c>
      <c r="G145" t="inlineStr">
        <is>
          <t>KARLSKOGA</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13454-2022</t>
        </is>
      </c>
      <c r="B146" t="inlineStr">
        <is>
          <t>avverkningsanmälan</t>
        </is>
      </c>
      <c r="C146" t="inlineStr">
        <is>
          <t>Föryngringsavverkning</t>
        </is>
      </c>
      <c r="D146" s="1" t="n">
        <v>44645</v>
      </c>
      <c r="E146" s="1" t="n">
        <v>46227</v>
      </c>
      <c r="F146" t="inlineStr">
        <is>
          <t>ÖREBRO LÄN</t>
        </is>
      </c>
      <c r="G146" t="inlineStr">
        <is>
          <t>KARLSKOGA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6835-2025</t>
        </is>
      </c>
      <c r="B147" t="inlineStr">
        <is>
          <t>avverkningsanmälan</t>
        </is>
      </c>
      <c r="C147" t="inlineStr">
        <is>
          <t>Föryngringsavverkning</t>
        </is>
      </c>
      <c r="D147" s="1" t="n">
        <v>45700</v>
      </c>
      <c r="E147" s="1" t="n">
        <v>46227</v>
      </c>
      <c r="F147" t="inlineStr">
        <is>
          <t>ÖREBRO LÄN</t>
        </is>
      </c>
      <c r="G147" t="inlineStr">
        <is>
          <t>KARLSKOGA</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10743-2023</t>
        </is>
      </c>
      <c r="B148" t="inlineStr">
        <is>
          <t>avverkningsanmälan</t>
        </is>
      </c>
      <c r="C148" t="inlineStr">
        <is>
          <t>Föryngringsavverkning</t>
        </is>
      </c>
      <c r="D148" s="1" t="n">
        <v>44988</v>
      </c>
      <c r="E148" s="1" t="n">
        <v>46227</v>
      </c>
      <c r="F148" t="inlineStr">
        <is>
          <t>ÖREBRO LÄN</t>
        </is>
      </c>
      <c r="G148" t="inlineStr">
        <is>
          <t>KARLSKOGA</t>
        </is>
      </c>
      <c r="H148" t="inlineStr">
        <is>
          <t>Kyrkan</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50611-2024</t>
        </is>
      </c>
      <c r="B149" t="inlineStr">
        <is>
          <t>avverkningsanmälan</t>
        </is>
      </c>
      <c r="C149" t="inlineStr">
        <is>
          <t>Föryngringsavverkning</t>
        </is>
      </c>
      <c r="D149" s="1" t="n">
        <v>45601</v>
      </c>
      <c r="E149" s="1" t="n">
        <v>46227</v>
      </c>
      <c r="F149" t="inlineStr">
        <is>
          <t>ÖREBRO LÄN</t>
        </is>
      </c>
      <c r="G149" t="inlineStr">
        <is>
          <t>KARLSKOGA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42802-2023</t>
        </is>
      </c>
      <c r="B150" t="inlineStr">
        <is>
          <t>avverkningsanmälan</t>
        </is>
      </c>
      <c r="C150" t="inlineStr">
        <is>
          <t>Avverkning för att bevara och utveckla /försöksver</t>
        </is>
      </c>
      <c r="D150" s="1" t="n">
        <v>45182</v>
      </c>
      <c r="E150" s="1" t="n">
        <v>46227</v>
      </c>
      <c r="F150" t="inlineStr">
        <is>
          <t>ÖREBRO LÄN</t>
        </is>
      </c>
      <c r="G150" t="inlineStr">
        <is>
          <t>KARLSKOGA</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52829-2024</t>
        </is>
      </c>
      <c r="B151" t="inlineStr">
        <is>
          <t>avverkningsanmälan</t>
        </is>
      </c>
      <c r="C151" t="inlineStr">
        <is>
          <t>Föryngringsavverkning</t>
        </is>
      </c>
      <c r="D151" s="1" t="n">
        <v>45610</v>
      </c>
      <c r="E151" s="1" t="n">
        <v>46227</v>
      </c>
      <c r="F151" t="inlineStr">
        <is>
          <t>ÖREBRO LÄN</t>
        </is>
      </c>
      <c r="G151" t="inlineStr">
        <is>
          <t>KARLSKOGA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56313-2024</t>
        </is>
      </c>
      <c r="B152" t="inlineStr">
        <is>
          <t>avverkningsanmälan</t>
        </is>
      </c>
      <c r="C152" t="inlineStr">
        <is>
          <t>Föryngringsavverkning</t>
        </is>
      </c>
      <c r="D152" s="1" t="n">
        <v>45624</v>
      </c>
      <c r="E152" s="1" t="n">
        <v>46227</v>
      </c>
      <c r="F152" t="inlineStr">
        <is>
          <t>ÖREBRO LÄN</t>
        </is>
      </c>
      <c r="G152" t="inlineStr">
        <is>
          <t>KARLSKOGA</t>
        </is>
      </c>
      <c r="H152" t="inlineStr">
        <is>
          <t>Kyrkan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38382-2022</t>
        </is>
      </c>
      <c r="B153" t="inlineStr">
        <is>
          <t>avverkningsanmälan</t>
        </is>
      </c>
      <c r="C153" t="inlineStr">
        <is>
          <t>Föryngringsavverkning</t>
        </is>
      </c>
      <c r="D153" s="1" t="n">
        <v>44812</v>
      </c>
      <c r="E153" s="1" t="n">
        <v>46227</v>
      </c>
      <c r="F153" t="inlineStr">
        <is>
          <t>ÖREBRO LÄN</t>
        </is>
      </c>
      <c r="G153" t="inlineStr">
        <is>
          <t>KARLSKOGA</t>
        </is>
      </c>
      <c r="H153" t="inlineStr">
        <is>
          <t>Kyrkan</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21210-2025</t>
        </is>
      </c>
      <c r="B154" t="inlineStr">
        <is>
          <t>avverkningsanmälan</t>
        </is>
      </c>
      <c r="C154" t="inlineStr">
        <is>
          <t>Föryngringsavverkning</t>
        </is>
      </c>
      <c r="D154" s="1" t="n">
        <v>45779</v>
      </c>
      <c r="E154" s="1" t="n">
        <v>46227</v>
      </c>
      <c r="F154" t="inlineStr">
        <is>
          <t>ÖREBRO LÄN</t>
        </is>
      </c>
      <c r="G154" t="inlineStr">
        <is>
          <t>KARLSKOGA</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23717-2025</t>
        </is>
      </c>
      <c r="B155" t="inlineStr">
        <is>
          <t>avverkningsanmälan</t>
        </is>
      </c>
      <c r="C155" t="inlineStr">
        <is>
          <t>Föryngringsavverkning</t>
        </is>
      </c>
      <c r="D155" s="1" t="n">
        <v>45793</v>
      </c>
      <c r="E155" s="1" t="n">
        <v>46227</v>
      </c>
      <c r="F155" t="inlineStr">
        <is>
          <t>ÖREBRO LÄN</t>
        </is>
      </c>
      <c r="G155" t="inlineStr">
        <is>
          <t>KARLSKOGA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28474-2023</t>
        </is>
      </c>
      <c r="B156" t="inlineStr">
        <is>
          <t>avverkningsanmälan</t>
        </is>
      </c>
      <c r="C156" t="inlineStr">
        <is>
          <t>Föryngringsavverkning</t>
        </is>
      </c>
      <c r="D156" s="1" t="n">
        <v>45103</v>
      </c>
      <c r="E156" s="1" t="n">
        <v>46227</v>
      </c>
      <c r="F156" t="inlineStr">
        <is>
          <t>ÖREBRO LÄN</t>
        </is>
      </c>
      <c r="G156" t="inlineStr">
        <is>
          <t>KARLSKOGA</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24115-2024</t>
        </is>
      </c>
      <c r="B157" t="inlineStr">
        <is>
          <t>avverkningsanmälan</t>
        </is>
      </c>
      <c r="C157" t="inlineStr">
        <is>
          <t>Föryngringsavverkning</t>
        </is>
      </c>
      <c r="D157" s="1" t="n">
        <v>45456</v>
      </c>
      <c r="E157" s="1" t="n">
        <v>46227</v>
      </c>
      <c r="F157" t="inlineStr">
        <is>
          <t>ÖREBRO LÄN</t>
        </is>
      </c>
      <c r="G157" t="inlineStr">
        <is>
          <t>KARLSKOGA</t>
        </is>
      </c>
      <c r="I157" t="n">
        <v>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917-2026</t>
        </is>
      </c>
      <c r="B158" t="inlineStr">
        <is>
          <t>avverkningsanmälan</t>
        </is>
      </c>
      <c r="C158" t="inlineStr">
        <is>
          <t>Föryngringsavverkning</t>
        </is>
      </c>
      <c r="D158" s="1" t="n">
        <v>46030</v>
      </c>
      <c r="E158" s="1" t="n">
        <v>46227</v>
      </c>
      <c r="F158" t="inlineStr">
        <is>
          <t>ÖREBRO LÄN</t>
        </is>
      </c>
      <c r="G158" t="inlineStr">
        <is>
          <t>KARLSKOGA</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10404-2022</t>
        </is>
      </c>
      <c r="B159" t="inlineStr">
        <is>
          <t>avverkningsanmälan</t>
        </is>
      </c>
      <c r="C159" t="inlineStr">
        <is>
          <t>Föryngringsavverkning</t>
        </is>
      </c>
      <c r="D159" s="1" t="n">
        <v>44623</v>
      </c>
      <c r="E159" s="1" t="n">
        <v>46227</v>
      </c>
      <c r="F159" t="inlineStr">
        <is>
          <t>ÖREBRO LÄN</t>
        </is>
      </c>
      <c r="G159" t="inlineStr">
        <is>
          <t>KARLSKOGA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20897-2026</t>
        </is>
      </c>
      <c r="B160" t="inlineStr">
        <is>
          <t>avverkningsanmälan</t>
        </is>
      </c>
      <c r="C160" t="inlineStr">
        <is>
          <t>Föryngringsavverkning</t>
        </is>
      </c>
      <c r="D160" s="1" t="n">
        <v>46142</v>
      </c>
      <c r="E160" s="1" t="n">
        <v>46227</v>
      </c>
      <c r="F160" t="inlineStr">
        <is>
          <t>ÖREBRO LÄN</t>
        </is>
      </c>
      <c r="G160" t="inlineStr">
        <is>
          <t>KARLSKOGA</t>
        </is>
      </c>
      <c r="H160" t="inlineStr">
        <is>
          <t>Övriga Aktiebolag</t>
        </is>
      </c>
      <c r="I160" t="n">
        <v>13.7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18955-2025</t>
        </is>
      </c>
      <c r="B161" t="inlineStr">
        <is>
          <t>avverkningsanmälan</t>
        </is>
      </c>
      <c r="C161" t="inlineStr">
        <is>
          <t>Föryngringsavverkning</t>
        </is>
      </c>
      <c r="D161" s="1" t="n">
        <v>45764</v>
      </c>
      <c r="E161" s="1" t="n">
        <v>46227</v>
      </c>
      <c r="F161" t="inlineStr">
        <is>
          <t>ÖREBRO LÄN</t>
        </is>
      </c>
      <c r="G161" t="inlineStr">
        <is>
          <t>KARLSKOGA</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20909-2026</t>
        </is>
      </c>
      <c r="B162" t="inlineStr">
        <is>
          <t>avverkningsanmälan</t>
        </is>
      </c>
      <c r="C162" t="inlineStr">
        <is>
          <t>Föryngringsavverkning</t>
        </is>
      </c>
      <c r="D162" s="1" t="n">
        <v>46142</v>
      </c>
      <c r="E162" s="1" t="n">
        <v>46227</v>
      </c>
      <c r="F162" t="inlineStr">
        <is>
          <t>ÖREBRO LÄN</t>
        </is>
      </c>
      <c r="G162" t="inlineStr">
        <is>
          <t>KARLSKOGA</t>
        </is>
      </c>
      <c r="H162" t="inlineStr">
        <is>
          <t>Övriga Aktiebolag</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26819-2026</t>
        </is>
      </c>
      <c r="B163" t="inlineStr">
        <is>
          <t>avverkningsanmälan</t>
        </is>
      </c>
      <c r="C163" t="inlineStr">
        <is>
          <t>Föryngringsavverkning</t>
        </is>
      </c>
      <c r="D163" s="1" t="n">
        <v>46185</v>
      </c>
      <c r="E163" s="1" t="n">
        <v>46227</v>
      </c>
      <c r="F163" t="inlineStr">
        <is>
          <t>ÖREBRO LÄN</t>
        </is>
      </c>
      <c r="G163" t="inlineStr">
        <is>
          <t>KARLSKOGA</t>
        </is>
      </c>
      <c r="H163" t="inlineStr">
        <is>
          <t>Sveaskog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26820-2026</t>
        </is>
      </c>
      <c r="B164" t="inlineStr">
        <is>
          <t>avverkningsanmälan</t>
        </is>
      </c>
      <c r="C164" t="inlineStr">
        <is>
          <t>Föryngringsavverkning</t>
        </is>
      </c>
      <c r="D164" s="1" t="n">
        <v>46185</v>
      </c>
      <c r="E164" s="1" t="n">
        <v>46227</v>
      </c>
      <c r="F164" t="inlineStr">
        <is>
          <t>ÖREBRO LÄN</t>
        </is>
      </c>
      <c r="G164" t="inlineStr">
        <is>
          <t>KARLSKOGA</t>
        </is>
      </c>
      <c r="H164" t="inlineStr">
        <is>
          <t>Sveaskog</t>
        </is>
      </c>
      <c r="I164" t="n">
        <v>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26822-2026</t>
        </is>
      </c>
      <c r="B165" t="inlineStr">
        <is>
          <t>avverkningsanmälan</t>
        </is>
      </c>
      <c r="C165" t="inlineStr">
        <is>
          <t>Föryngringsavverkning</t>
        </is>
      </c>
      <c r="D165" s="1" t="n">
        <v>46185</v>
      </c>
      <c r="E165" s="1" t="n">
        <v>46227</v>
      </c>
      <c r="F165" t="inlineStr">
        <is>
          <t>ÖREBRO LÄN</t>
        </is>
      </c>
      <c r="G165" t="inlineStr">
        <is>
          <t>KARLSKOGA</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26821-2026</t>
        </is>
      </c>
      <c r="B166" t="inlineStr">
        <is>
          <t>avverkningsanmälan</t>
        </is>
      </c>
      <c r="C166" t="inlineStr">
        <is>
          <t>Föryngringsavverkning</t>
        </is>
      </c>
      <c r="D166" s="1" t="n">
        <v>46185</v>
      </c>
      <c r="E166" s="1" t="n">
        <v>46227</v>
      </c>
      <c r="F166" t="inlineStr">
        <is>
          <t>ÖREBRO LÄN</t>
        </is>
      </c>
      <c r="G166" t="inlineStr">
        <is>
          <t>KARLSKOGA</t>
        </is>
      </c>
      <c r="H166" t="inlineStr">
        <is>
          <t>Sveaskog</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26824-2026</t>
        </is>
      </c>
      <c r="B167" t="inlineStr">
        <is>
          <t>avverkningsanmälan</t>
        </is>
      </c>
      <c r="C167" t="inlineStr">
        <is>
          <t>Föryngringsavverkning</t>
        </is>
      </c>
      <c r="D167" s="1" t="n">
        <v>46185</v>
      </c>
      <c r="E167" s="1" t="n">
        <v>46227</v>
      </c>
      <c r="F167" t="inlineStr">
        <is>
          <t>ÖREBRO LÄN</t>
        </is>
      </c>
      <c r="G167" t="inlineStr">
        <is>
          <t>KARLSKOGA</t>
        </is>
      </c>
      <c r="H167" t="inlineStr">
        <is>
          <t>Sveaskog</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26825-2026</t>
        </is>
      </c>
      <c r="B168" t="inlineStr">
        <is>
          <t>avverkningsanmälan</t>
        </is>
      </c>
      <c r="C168" t="inlineStr">
        <is>
          <t>Föryngringsavverkning</t>
        </is>
      </c>
      <c r="D168" s="1" t="n">
        <v>46185</v>
      </c>
      <c r="E168" s="1" t="n">
        <v>46227</v>
      </c>
      <c r="F168" t="inlineStr">
        <is>
          <t>ÖREBRO LÄN</t>
        </is>
      </c>
      <c r="G168" t="inlineStr">
        <is>
          <t>KARLSKOGA</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22867-2022</t>
        </is>
      </c>
      <c r="B169" t="inlineStr">
        <is>
          <t>avverkningsanmälan</t>
        </is>
      </c>
      <c r="C169" t="inlineStr">
        <is>
          <t>Föryngringsavverkning</t>
        </is>
      </c>
      <c r="D169" s="1" t="n">
        <v>44715</v>
      </c>
      <c r="E169" s="1" t="n">
        <v>46227</v>
      </c>
      <c r="F169" t="inlineStr">
        <is>
          <t>ÖREBRO LÄN</t>
        </is>
      </c>
      <c r="G169" t="inlineStr">
        <is>
          <t>KARLSKOGA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27120-2026</t>
        </is>
      </c>
      <c r="B170" t="inlineStr">
        <is>
          <t>avverkningsanmälan</t>
        </is>
      </c>
      <c r="C170" t="inlineStr">
        <is>
          <t>Föryngringsavverkning</t>
        </is>
      </c>
      <c r="D170" s="1" t="n">
        <v>46188</v>
      </c>
      <c r="E170" s="1" t="n">
        <v>46227</v>
      </c>
      <c r="F170" t="inlineStr">
        <is>
          <t>ÖREBRO LÄN</t>
        </is>
      </c>
      <c r="G170" t="inlineStr">
        <is>
          <t>KARLSKOGA</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21253-2026</t>
        </is>
      </c>
      <c r="B171" t="inlineStr">
        <is>
          <t>avverkningsanmälan</t>
        </is>
      </c>
      <c r="C171" t="inlineStr">
        <is>
          <t>Föryngringsavverkning</t>
        </is>
      </c>
      <c r="D171" s="1" t="n">
        <v>46147</v>
      </c>
      <c r="E171" s="1" t="n">
        <v>46227</v>
      </c>
      <c r="F171" t="inlineStr">
        <is>
          <t>ÖREBRO LÄN</t>
        </is>
      </c>
      <c r="G171" t="inlineStr">
        <is>
          <t>KARLSKOGA</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27392-2026</t>
        </is>
      </c>
      <c r="B172" t="inlineStr">
        <is>
          <t>avverkningsanmälan</t>
        </is>
      </c>
      <c r="C172" t="inlineStr">
        <is>
          <t>Föryngringsavverkning</t>
        </is>
      </c>
      <c r="D172" s="1" t="n">
        <v>46189</v>
      </c>
      <c r="E172" s="1" t="n">
        <v>46227</v>
      </c>
      <c r="F172" t="inlineStr">
        <is>
          <t>ÖREBRO LÄN</t>
        </is>
      </c>
      <c r="G172" t="inlineStr">
        <is>
          <t>KARLSKOGA</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21454-2026</t>
        </is>
      </c>
      <c r="B173" t="inlineStr">
        <is>
          <t>avverkningsanmälan</t>
        </is>
      </c>
      <c r="C173" t="inlineStr">
        <is>
          <t>Föryngringsavverkning</t>
        </is>
      </c>
      <c r="D173" s="1" t="n">
        <v>46148</v>
      </c>
      <c r="E173" s="1" t="n">
        <v>46227</v>
      </c>
      <c r="F173" t="inlineStr">
        <is>
          <t>ÖREBRO LÄN</t>
        </is>
      </c>
      <c r="G173" t="inlineStr">
        <is>
          <t>KARLSKOGA</t>
        </is>
      </c>
      <c r="H173" t="inlineStr">
        <is>
          <t>Kyrkan</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21257-2026</t>
        </is>
      </c>
      <c r="B174" t="inlineStr">
        <is>
          <t>avverkningsanmälan</t>
        </is>
      </c>
      <c r="C174" t="inlineStr">
        <is>
          <t>Föryngringsavverkning</t>
        </is>
      </c>
      <c r="D174" s="1" t="n">
        <v>46147</v>
      </c>
      <c r="E174" s="1" t="n">
        <v>46227</v>
      </c>
      <c r="F174" t="inlineStr">
        <is>
          <t>ÖREBRO LÄN</t>
        </is>
      </c>
      <c r="G174" t="inlineStr">
        <is>
          <t>KARLSKOGA</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18978-2025</t>
        </is>
      </c>
      <c r="B175" t="inlineStr">
        <is>
          <t>avverkningsanmälan</t>
        </is>
      </c>
      <c r="C175" t="inlineStr">
        <is>
          <t>Föryngringsavverkning</t>
        </is>
      </c>
      <c r="D175" s="1" t="n">
        <v>45764</v>
      </c>
      <c r="E175" s="1" t="n">
        <v>46227</v>
      </c>
      <c r="F175" t="inlineStr">
        <is>
          <t>ÖREBRO LÄN</t>
        </is>
      </c>
      <c r="G175" t="inlineStr">
        <is>
          <t>KARLSKOGA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4801-2024</t>
        </is>
      </c>
      <c r="B176" t="inlineStr">
        <is>
          <t>avverkningsanmälan</t>
        </is>
      </c>
      <c r="C176" t="inlineStr">
        <is>
          <t>Föryngringsavverkning</t>
        </is>
      </c>
      <c r="D176" s="1" t="n">
        <v>45328</v>
      </c>
      <c r="E176" s="1" t="n">
        <v>46227</v>
      </c>
      <c r="F176" t="inlineStr">
        <is>
          <t>ÖREBRO LÄN</t>
        </is>
      </c>
      <c r="G176" t="inlineStr">
        <is>
          <t>KARLSKOGA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4802-2024</t>
        </is>
      </c>
      <c r="B177" t="inlineStr">
        <is>
          <t>avverkningsanmälan</t>
        </is>
      </c>
      <c r="C177" t="inlineStr">
        <is>
          <t>Föryngringsavverkning</t>
        </is>
      </c>
      <c r="D177" s="1" t="n">
        <v>45328</v>
      </c>
      <c r="E177" s="1" t="n">
        <v>46227</v>
      </c>
      <c r="F177" t="inlineStr">
        <is>
          <t>ÖREBRO LÄN</t>
        </is>
      </c>
      <c r="G177" t="inlineStr">
        <is>
          <t>KARLSKOGA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30961-2022</t>
        </is>
      </c>
      <c r="B178" t="inlineStr">
        <is>
          <t>avverkningsanmälan</t>
        </is>
      </c>
      <c r="C178" t="inlineStr">
        <is>
          <t>Föryngringsavverkning</t>
        </is>
      </c>
      <c r="D178" s="1" t="n">
        <v>44768</v>
      </c>
      <c r="E178" s="1" t="n">
        <v>46227</v>
      </c>
      <c r="F178" t="inlineStr">
        <is>
          <t>ÖREBRO LÄN</t>
        </is>
      </c>
      <c r="G178" t="inlineStr">
        <is>
          <t>KARLSKOGA</t>
        </is>
      </c>
      <c r="H178" t="inlineStr">
        <is>
          <t>Kommuner</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55191-2023</t>
        </is>
      </c>
      <c r="B179" t="inlineStr">
        <is>
          <t>avverkningsanmälan</t>
        </is>
      </c>
      <c r="C179" t="inlineStr">
        <is>
          <t>Föryngringsavverkning</t>
        </is>
      </c>
      <c r="D179" s="1" t="n">
        <v>45237</v>
      </c>
      <c r="E179" s="1" t="n">
        <v>46227</v>
      </c>
      <c r="F179" t="inlineStr">
        <is>
          <t>ÖREBRO LÄN</t>
        </is>
      </c>
      <c r="G179" t="inlineStr">
        <is>
          <t>KARLSKOGA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3227-2025</t>
        </is>
      </c>
      <c r="B180" t="inlineStr">
        <is>
          <t>avverkningsanmälan</t>
        </is>
      </c>
      <c r="C180" t="inlineStr">
        <is>
          <t>Föryngringsavverkning</t>
        </is>
      </c>
      <c r="D180" s="1" t="n">
        <v>45679</v>
      </c>
      <c r="E180" s="1" t="n">
        <v>46227</v>
      </c>
      <c r="F180" t="inlineStr">
        <is>
          <t>ÖREBRO LÄN</t>
        </is>
      </c>
      <c r="G180" t="inlineStr">
        <is>
          <t>KARLSKOGA</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13496-2025</t>
        </is>
      </c>
      <c r="B181" t="inlineStr">
        <is>
          <t>avverkningsanmälan</t>
        </is>
      </c>
      <c r="C181" t="inlineStr">
        <is>
          <t>Föryngringsavverkning</t>
        </is>
      </c>
      <c r="D181" s="1" t="n">
        <v>45736</v>
      </c>
      <c r="E181" s="1" t="n">
        <v>46227</v>
      </c>
      <c r="F181" t="inlineStr">
        <is>
          <t>ÖREBRO LÄN</t>
        </is>
      </c>
      <c r="G181" t="inlineStr">
        <is>
          <t>KARLSKOGA</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11974-2025</t>
        </is>
      </c>
      <c r="B182" t="inlineStr">
        <is>
          <t>avverkningsanmälan</t>
        </is>
      </c>
      <c r="C182" t="inlineStr">
        <is>
          <t>Föryngringsavverkning</t>
        </is>
      </c>
      <c r="D182" s="1" t="n">
        <v>45728</v>
      </c>
      <c r="E182" s="1" t="n">
        <v>46227</v>
      </c>
      <c r="F182" t="inlineStr">
        <is>
          <t>ÖREBRO LÄN</t>
        </is>
      </c>
      <c r="G182" t="inlineStr">
        <is>
          <t>KARLSKOGA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63863-2023</t>
        </is>
      </c>
      <c r="B183" t="inlineStr">
        <is>
          <t>avverkningsanmälan</t>
        </is>
      </c>
      <c r="C183" t="inlineStr">
        <is>
          <t>Föryngringsavverkning</t>
        </is>
      </c>
      <c r="D183" s="1" t="n">
        <v>45278</v>
      </c>
      <c r="E183" s="1" t="n">
        <v>46227</v>
      </c>
      <c r="F183" t="inlineStr">
        <is>
          <t>ÖREBRO LÄN</t>
        </is>
      </c>
      <c r="G183" t="inlineStr">
        <is>
          <t>KARLSKOGA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1309-2024</t>
        </is>
      </c>
      <c r="B184" t="inlineStr">
        <is>
          <t>avverkningsanmälan</t>
        </is>
      </c>
      <c r="C184" t="inlineStr">
        <is>
          <t>Föryngringsavverkning</t>
        </is>
      </c>
      <c r="D184" s="1" t="n">
        <v>45303</v>
      </c>
      <c r="E184" s="1" t="n">
        <v>46227</v>
      </c>
      <c r="F184" t="inlineStr">
        <is>
          <t>ÖREBRO LÄN</t>
        </is>
      </c>
      <c r="G184" t="inlineStr">
        <is>
          <t>KARLSKOGA</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52826-2024</t>
        </is>
      </c>
      <c r="B185" t="inlineStr">
        <is>
          <t>avverkningsanmälan</t>
        </is>
      </c>
      <c r="C185" t="inlineStr">
        <is>
          <t>Föryngringsavverkning</t>
        </is>
      </c>
      <c r="D185" s="1" t="n">
        <v>45610</v>
      </c>
      <c r="E185" s="1" t="n">
        <v>46227</v>
      </c>
      <c r="F185" t="inlineStr">
        <is>
          <t>ÖREBRO LÄN</t>
        </is>
      </c>
      <c r="G185" t="inlineStr">
        <is>
          <t>KARLSKOGA</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1106-2024</t>
        </is>
      </c>
      <c r="B186" t="inlineStr">
        <is>
          <t>avverkningsanmälan</t>
        </is>
      </c>
      <c r="C186" t="inlineStr">
        <is>
          <t>Föryngringsavverkning</t>
        </is>
      </c>
      <c r="D186" s="1" t="n">
        <v>45302</v>
      </c>
      <c r="E186" s="1" t="n">
        <v>46227</v>
      </c>
      <c r="F186" t="inlineStr">
        <is>
          <t>ÖREBRO LÄN</t>
        </is>
      </c>
      <c r="G186" t="inlineStr">
        <is>
          <t>KARLSKOGA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48707-2024</t>
        </is>
      </c>
      <c r="B187" t="inlineStr">
        <is>
          <t>avverkningsanmälan</t>
        </is>
      </c>
      <c r="C187" t="inlineStr">
        <is>
          <t>Föryngringsavverkning</t>
        </is>
      </c>
      <c r="D187" s="1" t="n">
        <v>45593</v>
      </c>
      <c r="E187" s="1" t="n">
        <v>46227</v>
      </c>
      <c r="F187" t="inlineStr">
        <is>
          <t>ÖREBRO LÄN</t>
        </is>
      </c>
      <c r="G187" t="inlineStr">
        <is>
          <t>KARLSKOGA</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23754-2026</t>
        </is>
      </c>
      <c r="B188" t="inlineStr">
        <is>
          <t>avverkningsanmälan</t>
        </is>
      </c>
      <c r="C188" t="inlineStr">
        <is>
          <t>Föryngringsavverkning</t>
        </is>
      </c>
      <c r="D188" s="1" t="n">
        <v>46164</v>
      </c>
      <c r="E188" s="1" t="n">
        <v>46227</v>
      </c>
      <c r="F188" t="inlineStr">
        <is>
          <t>ÖREBRO LÄN</t>
        </is>
      </c>
      <c r="G188" t="inlineStr">
        <is>
          <t>KARLSKOGA</t>
        </is>
      </c>
      <c r="H188" t="inlineStr">
        <is>
          <t>Sveaskog</t>
        </is>
      </c>
      <c r="I188" t="n">
        <v>12.2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4587-2025</t>
        </is>
      </c>
      <c r="B189" t="inlineStr">
        <is>
          <t>avverkningsanmälan</t>
        </is>
      </c>
      <c r="C189" t="inlineStr">
        <is>
          <t>Föryngringsavverkning</t>
        </is>
      </c>
      <c r="D189" s="1" t="n">
        <v>45687</v>
      </c>
      <c r="E189" s="1" t="n">
        <v>46227</v>
      </c>
      <c r="F189" t="inlineStr">
        <is>
          <t>ÖREBRO LÄN</t>
        </is>
      </c>
      <c r="G189" t="inlineStr">
        <is>
          <t>KARLSKOGA</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4587-2025</t>
        </is>
      </c>
      <c r="B190" t="inlineStr">
        <is>
          <t>avverkningsanmälan</t>
        </is>
      </c>
      <c r="C190" t="inlineStr">
        <is>
          <t>Föryngringsavverkning</t>
        </is>
      </c>
      <c r="D190" s="1" t="n">
        <v>45687</v>
      </c>
      <c r="E190" s="1" t="n">
        <v>46227</v>
      </c>
      <c r="F190" t="inlineStr">
        <is>
          <t>ÖREBRO LÄN</t>
        </is>
      </c>
      <c r="G190" t="inlineStr">
        <is>
          <t>KARLSKOGA</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3239-2026</t>
        </is>
      </c>
      <c r="B191" t="inlineStr">
        <is>
          <t>avverkningsanmälan</t>
        </is>
      </c>
      <c r="C191" t="inlineStr">
        <is>
          <t>Föryngringsavverkning</t>
        </is>
      </c>
      <c r="D191" s="1" t="n">
        <v>46041</v>
      </c>
      <c r="E191" s="1" t="n">
        <v>46227</v>
      </c>
      <c r="F191" t="inlineStr">
        <is>
          <t>ÖREBRO LÄN</t>
        </is>
      </c>
      <c r="G191" t="inlineStr">
        <is>
          <t>KARLSKOGA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35470-2024</t>
        </is>
      </c>
      <c r="B192" t="inlineStr">
        <is>
          <t>avverkningsanmälan</t>
        </is>
      </c>
      <c r="C192" t="inlineStr">
        <is>
          <t>Föryngringsavverkning</t>
        </is>
      </c>
      <c r="D192" s="1" t="n">
        <v>45531</v>
      </c>
      <c r="E192" s="1" t="n">
        <v>46227</v>
      </c>
      <c r="F192" t="inlineStr">
        <is>
          <t>ÖREBRO LÄN</t>
        </is>
      </c>
      <c r="G192" t="inlineStr">
        <is>
          <t>KARLSKOGA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24666-2026</t>
        </is>
      </c>
      <c r="B193" t="inlineStr">
        <is>
          <t>avverkningsanmälan</t>
        </is>
      </c>
      <c r="C193" t="inlineStr">
        <is>
          <t>Föryngringsavverkning</t>
        </is>
      </c>
      <c r="D193" s="1" t="n">
        <v>46171</v>
      </c>
      <c r="E193" s="1" t="n">
        <v>46227</v>
      </c>
      <c r="F193" t="inlineStr">
        <is>
          <t>ÖREBRO LÄN</t>
        </is>
      </c>
      <c r="G193" t="inlineStr">
        <is>
          <t>KARLSKOGA</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8990-2023</t>
        </is>
      </c>
      <c r="B194" t="inlineStr">
        <is>
          <t>avverkningsanmälan</t>
        </is>
      </c>
      <c r="C194" t="inlineStr">
        <is>
          <t>Föryngringsavverkning</t>
        </is>
      </c>
      <c r="D194" s="1" t="n">
        <v>44979</v>
      </c>
      <c r="E194" s="1" t="n">
        <v>46227</v>
      </c>
      <c r="F194" t="inlineStr">
        <is>
          <t>ÖREBRO LÄN</t>
        </is>
      </c>
      <c r="G194" t="inlineStr">
        <is>
          <t>KARLSKOGA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25098-2026</t>
        </is>
      </c>
      <c r="B195" t="inlineStr">
        <is>
          <t>avverkningsanmälan</t>
        </is>
      </c>
      <c r="C195" t="inlineStr">
        <is>
          <t>Avverkning för att bevara och utveckla /försöksver</t>
        </is>
      </c>
      <c r="D195" s="1" t="n">
        <v>46175</v>
      </c>
      <c r="E195" s="1" t="n">
        <v>46227</v>
      </c>
      <c r="F195" t="inlineStr">
        <is>
          <t>ÖREBRO LÄN</t>
        </is>
      </c>
      <c r="G195" t="inlineStr">
        <is>
          <t>KARLSKOGA</t>
        </is>
      </c>
      <c r="H195" t="inlineStr">
        <is>
          <t>Sveaskog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25092-2026</t>
        </is>
      </c>
      <c r="B196" t="inlineStr">
        <is>
          <t>avverkningsanmälan</t>
        </is>
      </c>
      <c r="C196" t="inlineStr">
        <is>
          <t>Föryngringsavverkning</t>
        </is>
      </c>
      <c r="D196" s="1" t="n">
        <v>46175</v>
      </c>
      <c r="E196" s="1" t="n">
        <v>46227</v>
      </c>
      <c r="F196" t="inlineStr">
        <is>
          <t>ÖREBRO LÄN</t>
        </is>
      </c>
      <c r="G196" t="inlineStr">
        <is>
          <t>KARLSKOGA</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50614-2024</t>
        </is>
      </c>
      <c r="B197" t="inlineStr">
        <is>
          <t>avverkningsanmälan</t>
        </is>
      </c>
      <c r="C197" t="inlineStr">
        <is>
          <t>Föryngringsavverkning</t>
        </is>
      </c>
      <c r="D197" s="1" t="n">
        <v>45601</v>
      </c>
      <c r="E197" s="1" t="n">
        <v>46227</v>
      </c>
      <c r="F197" t="inlineStr">
        <is>
          <t>ÖREBRO LÄN</t>
        </is>
      </c>
      <c r="G197" t="inlineStr">
        <is>
          <t>KARLSKOGA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55182-2024</t>
        </is>
      </c>
      <c r="B198" t="inlineStr">
        <is>
          <t>avverkningsanmälan</t>
        </is>
      </c>
      <c r="C198" t="inlineStr">
        <is>
          <t>Föryngringsavverkning</t>
        </is>
      </c>
      <c r="D198" s="1" t="n">
        <v>45618</v>
      </c>
      <c r="E198" s="1" t="n">
        <v>46227</v>
      </c>
      <c r="F198" t="inlineStr">
        <is>
          <t>ÖREBRO LÄN</t>
        </is>
      </c>
      <c r="G198" t="inlineStr">
        <is>
          <t>KARLSKOGA</t>
        </is>
      </c>
      <c r="I198" t="n">
        <v>11.4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31378-2026</t>
        </is>
      </c>
      <c r="B199" t="inlineStr">
        <is>
          <t>avverkningsanmälan</t>
        </is>
      </c>
      <c r="C199" t="inlineStr">
        <is>
          <t>Föryngringsavverkning</t>
        </is>
      </c>
      <c r="D199" s="1" t="n">
        <v>46213</v>
      </c>
      <c r="E199" s="1" t="n">
        <v>46227</v>
      </c>
      <c r="F199" t="inlineStr">
        <is>
          <t>ÖREBRO LÄN</t>
        </is>
      </c>
      <c r="G199" t="inlineStr">
        <is>
          <t>KARLSKOGA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52797-2021</t>
        </is>
      </c>
      <c r="B200" t="inlineStr">
        <is>
          <t>avverkningsanmälan</t>
        </is>
      </c>
      <c r="C200" t="inlineStr">
        <is>
          <t>Föryngringsavverkning</t>
        </is>
      </c>
      <c r="D200" s="1" t="n">
        <v>44467</v>
      </c>
      <c r="E200" s="1" t="n">
        <v>46227</v>
      </c>
      <c r="F200" t="inlineStr">
        <is>
          <t>ÖREBRO LÄN</t>
        </is>
      </c>
      <c r="G200" t="inlineStr">
        <is>
          <t>KARLSKOGA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26608-2026</t>
        </is>
      </c>
      <c r="B201" t="inlineStr">
        <is>
          <t>avverkningsanmälan</t>
        </is>
      </c>
      <c r="C201" t="inlineStr">
        <is>
          <t>Föryngringsavverkning</t>
        </is>
      </c>
      <c r="D201" s="1" t="n">
        <v>46184</v>
      </c>
      <c r="E201" s="1" t="n">
        <v>46227</v>
      </c>
      <c r="F201" t="inlineStr">
        <is>
          <t>ÖREBRO LÄN</t>
        </is>
      </c>
      <c r="G201" t="inlineStr">
        <is>
          <t>KARLSKOGA</t>
        </is>
      </c>
      <c r="H201" t="inlineStr">
        <is>
          <t>Sveaskog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8259-2025</t>
        </is>
      </c>
      <c r="B202" t="inlineStr">
        <is>
          <t>avverkningsanmälan</t>
        </is>
      </c>
      <c r="C202" t="inlineStr">
        <is>
          <t>Föryngringsavverkning</t>
        </is>
      </c>
      <c r="D202" s="1" t="n">
        <v>45708</v>
      </c>
      <c r="E202" s="1" t="n">
        <v>46227</v>
      </c>
      <c r="F202" t="inlineStr">
        <is>
          <t>ÖREBRO LÄN</t>
        </is>
      </c>
      <c r="G202" t="inlineStr">
        <is>
          <t>KARLSKOGA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53620-2024</t>
        </is>
      </c>
      <c r="B203" t="inlineStr">
        <is>
          <t>avverkningsanmälan</t>
        </is>
      </c>
      <c r="C203" t="inlineStr">
        <is>
          <t>Föryngringsavverkning</t>
        </is>
      </c>
      <c r="D203" s="1" t="n">
        <v>45614</v>
      </c>
      <c r="E203" s="1" t="n">
        <v>46227</v>
      </c>
      <c r="F203" t="inlineStr">
        <is>
          <t>ÖREBRO LÄN</t>
        </is>
      </c>
      <c r="G203" t="inlineStr">
        <is>
          <t>KARLSKOGA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35930-2023</t>
        </is>
      </c>
      <c r="B204" t="inlineStr">
        <is>
          <t>avverkningsanmälan</t>
        </is>
      </c>
      <c r="C204" t="inlineStr">
        <is>
          <t>Föryngringsavverkning</t>
        </is>
      </c>
      <c r="D204" s="1" t="n">
        <v>45148</v>
      </c>
      <c r="E204" s="1" t="n">
        <v>46227</v>
      </c>
      <c r="F204" t="inlineStr">
        <is>
          <t>ÖREBRO LÄN</t>
        </is>
      </c>
      <c r="G204" t="inlineStr">
        <is>
          <t>KARLSKOGA</t>
        </is>
      </c>
      <c r="H204" t="inlineStr">
        <is>
          <t>Sveaskog</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47196-2023</t>
        </is>
      </c>
      <c r="B205" t="inlineStr">
        <is>
          <t>avverkningsanmälan</t>
        </is>
      </c>
      <c r="C205" t="inlineStr">
        <is>
          <t>Föryngringsavverkning</t>
        </is>
      </c>
      <c r="D205" s="1" t="n">
        <v>45196</v>
      </c>
      <c r="E205" s="1" t="n">
        <v>46227</v>
      </c>
      <c r="F205" t="inlineStr">
        <is>
          <t>ÖREBRO LÄN</t>
        </is>
      </c>
      <c r="G205" t="inlineStr">
        <is>
          <t>KARLSKOGA</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53618-2024</t>
        </is>
      </c>
      <c r="B206" t="inlineStr">
        <is>
          <t>avverkningsanmälan</t>
        </is>
      </c>
      <c r="C206" t="inlineStr">
        <is>
          <t>Föryngringsavverkning</t>
        </is>
      </c>
      <c r="D206" s="1" t="n">
        <v>45614</v>
      </c>
      <c r="E206" s="1" t="n">
        <v>46227</v>
      </c>
      <c r="F206" t="inlineStr">
        <is>
          <t>ÖREBRO LÄN</t>
        </is>
      </c>
      <c r="G206" t="inlineStr">
        <is>
          <t>KARLSKOGA</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58388-2024</t>
        </is>
      </c>
      <c r="B207" t="inlineStr">
        <is>
          <t>avverkningsanmälan</t>
        </is>
      </c>
      <c r="C207" t="inlineStr">
        <is>
          <t>Föryngringsavverkning</t>
        </is>
      </c>
      <c r="D207" s="1" t="n">
        <v>45633</v>
      </c>
      <c r="E207" s="1" t="n">
        <v>46227</v>
      </c>
      <c r="F207" t="inlineStr">
        <is>
          <t>ÖREBRO LÄN</t>
        </is>
      </c>
      <c r="G207" t="inlineStr">
        <is>
          <t>KARLSKOGA</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47201-2023</t>
        </is>
      </c>
      <c r="B208" t="inlineStr">
        <is>
          <t>avverkningsanmälan</t>
        </is>
      </c>
      <c r="C208" t="inlineStr">
        <is>
          <t>Föryngringsavverkning</t>
        </is>
      </c>
      <c r="D208" s="1" t="n">
        <v>45196</v>
      </c>
      <c r="E208" s="1" t="n">
        <v>46227</v>
      </c>
      <c r="F208" t="inlineStr">
        <is>
          <t>ÖREBRO LÄN</t>
        </is>
      </c>
      <c r="G208" t="inlineStr">
        <is>
          <t>KARLSKOGA</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52828-2024</t>
        </is>
      </c>
      <c r="B209" t="inlineStr">
        <is>
          <t>avverkningsanmälan</t>
        </is>
      </c>
      <c r="C209" t="inlineStr">
        <is>
          <t>Föryngringsavverkning</t>
        </is>
      </c>
      <c r="D209" s="1" t="n">
        <v>45610</v>
      </c>
      <c r="E209" s="1" t="n">
        <v>46227</v>
      </c>
      <c r="F209" t="inlineStr">
        <is>
          <t>ÖREBRO LÄN</t>
        </is>
      </c>
      <c r="G209" t="inlineStr">
        <is>
          <t>KARLSKOGA</t>
        </is>
      </c>
      <c r="I209" t="n">
        <v>8.300000000000001</v>
      </c>
      <c r="J209" t="n">
        <v>0</v>
      </c>
      <c r="K209" t="n">
        <v>0</v>
      </c>
      <c r="L209" t="n">
        <v>0</v>
      </c>
      <c r="M209" t="n">
        <v>0</v>
      </c>
      <c r="N209" t="n">
        <v>0</v>
      </c>
      <c r="O209" t="n">
        <v>0</v>
      </c>
      <c r="P209" t="n">
        <v>0</v>
      </c>
      <c r="Q209" t="n">
        <v>0</v>
      </c>
      <c r="R209" t="n">
        <v>0</v>
      </c>
      <c r="S209" t="n">
        <v>0</v>
      </c>
      <c r="T209" t="n">
        <v>0</v>
      </c>
      <c r="U209" t="n">
        <v>0</v>
      </c>
      <c r="V209" s="2" t="inlineStr"/>
    </row>
    <row r="210">
      <c r="A210" t="inlineStr">
        <is>
          <t>S 2960-2025</t>
        </is>
      </c>
      <c r="B210" t="inlineStr">
        <is>
          <t>samrådsanmälan</t>
        </is>
      </c>
      <c r="C210" t="inlineStr">
        <is>
          <t>Annan skogsbruksåtgärd</t>
        </is>
      </c>
      <c r="D210" s="1" t="n">
        <v>45953</v>
      </c>
      <c r="E210" s="1" t="n">
        <v>46227</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2026-07-24T01:48:41Z</dcterms:created>
  <dcterms:modified xmlns:dcterms="http://purl.org/dc/terms/" xmlns:xsi="http://www.w3.org/2001/XMLSchema-instance" xsi:type="dcterms:W3CDTF">2026-07-24T01:48:41Z</dcterms:modified>
</cp:coreProperties>
</file>