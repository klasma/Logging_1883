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2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53025-2025</t>
        </is>
      </c>
      <c r="B2" s="1" t="n">
        <v>45958</v>
      </c>
      <c r="C2" s="1" t="n">
        <v>46192</v>
      </c>
      <c r="D2" t="inlineStr">
        <is>
          <t>ÖREBRO LÄN</t>
        </is>
      </c>
      <c r="E2" t="inlineStr">
        <is>
          <t>KARLSKOGA</t>
        </is>
      </c>
      <c r="G2" t="n">
        <v>5.7</v>
      </c>
      <c r="H2" t="n">
        <v>1</v>
      </c>
      <c r="I2" t="n">
        <v>10</v>
      </c>
      <c r="J2" t="n">
        <v>6</v>
      </c>
      <c r="K2" t="n">
        <v>4</v>
      </c>
      <c r="L2" t="n">
        <v>0</v>
      </c>
      <c r="M2" t="n">
        <v>0</v>
      </c>
      <c r="N2" t="n">
        <v>0</v>
      </c>
      <c r="O2" t="n">
        <v>11</v>
      </c>
      <c r="P2" t="n">
        <v>4</v>
      </c>
      <c r="Q2" t="n">
        <v>22</v>
      </c>
      <c r="R2" s="2" t="inlineStr">
        <is>
          <t>Finporing
Honungsticka
Liten hornflikmossa
Pälsfrullania
Gransotdyna
Kandelabersvamp
Kötticka
Platt spretmossa
Storgröe
Veckticka
Ljungporing
Blåsfliksmossa
Dvärgkällmossa
Gulnål
Kornig nållav
Mörk husmossa
Piskbaronmossa
Platt fjädermossa
Svart trolldruva
Trind spretmossa
Trubbfjädermossa
Spillkråka</t>
        </is>
      </c>
      <c r="S2">
        <f>HYPERLINK("https://klasma.github.io/Logging_1883/artfynd/A 53025-2025 artfynd.xlsx", "A 53025-2025")</f>
        <v/>
      </c>
      <c r="T2">
        <f>HYPERLINK("https://klasma.github.io/Logging_1883/kartor/A 53025-2025 karta.png", "A 53025-2025")</f>
        <v/>
      </c>
      <c r="V2">
        <f>HYPERLINK("https://klasma.github.io/Logging_1883/klagomål/A 53025-2025 FSC-klagomål.docx", "A 53025-2025")</f>
        <v/>
      </c>
      <c r="W2">
        <f>HYPERLINK("https://klasma.github.io/Logging_1883/klagomålsmail/A 53025-2025 FSC-klagomål mail.docx", "A 53025-2025")</f>
        <v/>
      </c>
      <c r="X2">
        <f>HYPERLINK("https://klasma.github.io/Logging_1883/tillsyn/A 53025-2025 tillsynsbegäran.docx", "A 53025-2025")</f>
        <v/>
      </c>
      <c r="Y2">
        <f>HYPERLINK("https://klasma.github.io/Logging_1883/tillsynsmail/A 53025-2025 tillsynsbegäran mail.docx", "A 53025-2025")</f>
        <v/>
      </c>
      <c r="Z2">
        <f>HYPERLINK("https://klasma.github.io/Logging_1883/fåglar/A 53025-2025 prioriterade fågelarter.docx", "A 53025-2025")</f>
        <v/>
      </c>
    </row>
    <row r="3" ht="15" customHeight="1">
      <c r="A3" t="inlineStr">
        <is>
          <t>A 59524-2025</t>
        </is>
      </c>
      <c r="B3" s="1" t="n">
        <v>45989</v>
      </c>
      <c r="C3" s="1" t="n">
        <v>46192</v>
      </c>
      <c r="D3" t="inlineStr">
        <is>
          <t>ÖREBRO LÄN</t>
        </is>
      </c>
      <c r="E3" t="inlineStr">
        <is>
          <t>KARLSKOGA</t>
        </is>
      </c>
      <c r="F3" t="inlineStr">
        <is>
          <t>Sveaskog</t>
        </is>
      </c>
      <c r="G3" t="n">
        <v>4.6</v>
      </c>
      <c r="H3" t="n">
        <v>8</v>
      </c>
      <c r="I3" t="n">
        <v>5</v>
      </c>
      <c r="J3" t="n">
        <v>6</v>
      </c>
      <c r="K3" t="n">
        <v>1</v>
      </c>
      <c r="L3" t="n">
        <v>1</v>
      </c>
      <c r="M3" t="n">
        <v>0</v>
      </c>
      <c r="N3" t="n">
        <v>0</v>
      </c>
      <c r="O3" t="n">
        <v>8</v>
      </c>
      <c r="P3" t="n">
        <v>2</v>
      </c>
      <c r="Q3" t="n">
        <v>17</v>
      </c>
      <c r="R3" s="2" t="inlineStr">
        <is>
          <t>Pärluggla
Garnlav
Kolflarnlav
Orange taggsvamp
Sparvuggla
Talltita
Tretåig hackspett
Vedflamlav
Korallblylav
Mörk husmossa
Stor revmossa
Vedticka
Västlig hakmossa
Järpe
Tjäder
Havsörn
Orre</t>
        </is>
      </c>
      <c r="S3">
        <f>HYPERLINK("https://klasma.github.io/Logging_1883/artfynd/A 59524-2025 artfynd.xlsx", "A 59524-2025")</f>
        <v/>
      </c>
      <c r="T3">
        <f>HYPERLINK("https://klasma.github.io/Logging_1883/kartor/A 59524-2025 karta.png", "A 59524-2025")</f>
        <v/>
      </c>
      <c r="V3">
        <f>HYPERLINK("https://klasma.github.io/Logging_1883/klagomål/A 59524-2025 FSC-klagomål.docx", "A 59524-2025")</f>
        <v/>
      </c>
      <c r="W3">
        <f>HYPERLINK("https://klasma.github.io/Logging_1883/klagomålsmail/A 59524-2025 FSC-klagomål mail.docx", "A 59524-2025")</f>
        <v/>
      </c>
      <c r="X3">
        <f>HYPERLINK("https://klasma.github.io/Logging_1883/tillsyn/A 59524-2025 tillsynsbegäran.docx", "A 59524-2025")</f>
        <v/>
      </c>
      <c r="Y3">
        <f>HYPERLINK("https://klasma.github.io/Logging_1883/tillsynsmail/A 59524-2025 tillsynsbegäran mail.docx", "A 59524-2025")</f>
        <v/>
      </c>
      <c r="Z3">
        <f>HYPERLINK("https://klasma.github.io/Logging_1883/fåglar/A 59524-2025 prioriterade fågelarter.docx", "A 59524-2025")</f>
        <v/>
      </c>
    </row>
    <row r="4" ht="15" customHeight="1">
      <c r="A4" t="inlineStr">
        <is>
          <t>A 64125-2021</t>
        </is>
      </c>
      <c r="B4" s="1" t="n">
        <v>44510</v>
      </c>
      <c r="C4" s="1" t="n">
        <v>46192</v>
      </c>
      <c r="D4" t="inlineStr">
        <is>
          <t>ÖREBRO LÄN</t>
        </is>
      </c>
      <c r="E4" t="inlineStr">
        <is>
          <t>KARLSKOGA</t>
        </is>
      </c>
      <c r="G4" t="n">
        <v>6.5</v>
      </c>
      <c r="H4" t="n">
        <v>1</v>
      </c>
      <c r="I4" t="n">
        <v>11</v>
      </c>
      <c r="J4" t="n">
        <v>5</v>
      </c>
      <c r="K4" t="n">
        <v>0</v>
      </c>
      <c r="L4" t="n">
        <v>0</v>
      </c>
      <c r="M4" t="n">
        <v>0</v>
      </c>
      <c r="N4" t="n">
        <v>0</v>
      </c>
      <c r="O4" t="n">
        <v>5</v>
      </c>
      <c r="P4" t="n">
        <v>0</v>
      </c>
      <c r="Q4" t="n">
        <v>16</v>
      </c>
      <c r="R4" s="2" t="inlineStr">
        <is>
          <t>Gäckporing
Motaggsvamp
Stubbtrådmossa
Svartvit taggsvamp
Ullticka
Bronshjon
Flagellkvastmossa
Gulnål
Kornig nållav
Nordisk klipptuss
Rostfläck
Smal svampklubba
Stubbspretmossa
Trind spretmossa
Vedticka
Zontaggsvamp</t>
        </is>
      </c>
      <c r="S4">
        <f>HYPERLINK("https://klasma.github.io/Logging_1883/artfynd/A 64125-2021 artfynd.xlsx", "A 64125-2021")</f>
        <v/>
      </c>
      <c r="T4">
        <f>HYPERLINK("https://klasma.github.io/Logging_1883/kartor/A 64125-2021 karta.png", "A 64125-2021")</f>
        <v/>
      </c>
      <c r="V4">
        <f>HYPERLINK("https://klasma.github.io/Logging_1883/klagomål/A 64125-2021 FSC-klagomål.docx", "A 64125-2021")</f>
        <v/>
      </c>
      <c r="W4">
        <f>HYPERLINK("https://klasma.github.io/Logging_1883/klagomålsmail/A 64125-2021 FSC-klagomål mail.docx", "A 64125-2021")</f>
        <v/>
      </c>
      <c r="X4">
        <f>HYPERLINK("https://klasma.github.io/Logging_1883/tillsyn/A 64125-2021 tillsynsbegäran.docx", "A 64125-2021")</f>
        <v/>
      </c>
      <c r="Y4">
        <f>HYPERLINK("https://klasma.github.io/Logging_1883/tillsynsmail/A 64125-2021 tillsynsbegäran mail.docx", "A 64125-2021")</f>
        <v/>
      </c>
    </row>
    <row r="5" ht="15" customHeight="1">
      <c r="A5" t="inlineStr">
        <is>
          <t>A 14339-2026</t>
        </is>
      </c>
      <c r="B5" s="1" t="n">
        <v>46100</v>
      </c>
      <c r="C5" s="1" t="n">
        <v>46192</v>
      </c>
      <c r="D5" t="inlineStr">
        <is>
          <t>ÖREBRO LÄN</t>
        </is>
      </c>
      <c r="E5" t="inlineStr">
        <is>
          <t>KARLSKOGA</t>
        </is>
      </c>
      <c r="F5" t="inlineStr">
        <is>
          <t>Sveaskog</t>
        </is>
      </c>
      <c r="G5" t="n">
        <v>6.2</v>
      </c>
      <c r="H5" t="n">
        <v>5</v>
      </c>
      <c r="I5" t="n">
        <v>3</v>
      </c>
      <c r="J5" t="n">
        <v>6</v>
      </c>
      <c r="K5" t="n">
        <v>1</v>
      </c>
      <c r="L5" t="n">
        <v>0</v>
      </c>
      <c r="M5" t="n">
        <v>0</v>
      </c>
      <c r="N5" t="n">
        <v>0</v>
      </c>
      <c r="O5" t="n">
        <v>7</v>
      </c>
      <c r="P5" t="n">
        <v>1</v>
      </c>
      <c r="Q5" t="n">
        <v>14</v>
      </c>
      <c r="R5" s="2" t="inlineStr">
        <is>
          <t>Garnlav
Dropptaggsvamp
Grönhjon
Tallkötticka
Talltita
Vedflamlav
Vedskivlav
Blodticka
Gullgröppa
Vedticka
Mattlummer
Spillkråka
Tjäder
Smålom</t>
        </is>
      </c>
      <c r="S5">
        <f>HYPERLINK("https://klasma.github.io/Logging_1883/artfynd/A 14339-2026 artfynd.xlsx", "A 14339-2026")</f>
        <v/>
      </c>
      <c r="T5">
        <f>HYPERLINK("https://klasma.github.io/Logging_1883/kartor/A 14339-2026 karta.png", "A 14339-2026")</f>
        <v/>
      </c>
      <c r="V5">
        <f>HYPERLINK("https://klasma.github.io/Logging_1883/klagomål/A 14339-2026 FSC-klagomål.docx", "A 14339-2026")</f>
        <v/>
      </c>
      <c r="W5">
        <f>HYPERLINK("https://klasma.github.io/Logging_1883/klagomålsmail/A 14339-2026 FSC-klagomål mail.docx", "A 14339-2026")</f>
        <v/>
      </c>
      <c r="X5">
        <f>HYPERLINK("https://klasma.github.io/Logging_1883/tillsyn/A 14339-2026 tillsynsbegäran.docx", "A 14339-2026")</f>
        <v/>
      </c>
      <c r="Y5">
        <f>HYPERLINK("https://klasma.github.io/Logging_1883/tillsynsmail/A 14339-2026 tillsynsbegäran mail.docx", "A 14339-2026")</f>
        <v/>
      </c>
      <c r="Z5">
        <f>HYPERLINK("https://klasma.github.io/Logging_1883/fåglar/A 14339-2026 prioriterade fågelarter.docx", "A 14339-2026")</f>
        <v/>
      </c>
    </row>
    <row r="6" ht="15" customHeight="1">
      <c r="A6" t="inlineStr">
        <is>
          <t>A 59523-2025</t>
        </is>
      </c>
      <c r="B6" s="1" t="n">
        <v>45989</v>
      </c>
      <c r="C6" s="1" t="n">
        <v>46192</v>
      </c>
      <c r="D6" t="inlineStr">
        <is>
          <t>ÖREBRO LÄN</t>
        </is>
      </c>
      <c r="E6" t="inlineStr">
        <is>
          <t>KARLSKOGA</t>
        </is>
      </c>
      <c r="F6" t="inlineStr">
        <is>
          <t>Sveaskog</t>
        </is>
      </c>
      <c r="G6" t="n">
        <v>3.1</v>
      </c>
      <c r="H6" t="n">
        <v>5</v>
      </c>
      <c r="I6" t="n">
        <v>2</v>
      </c>
      <c r="J6" t="n">
        <v>3</v>
      </c>
      <c r="K6" t="n">
        <v>1</v>
      </c>
      <c r="L6" t="n">
        <v>1</v>
      </c>
      <c r="M6" t="n">
        <v>0</v>
      </c>
      <c r="N6" t="n">
        <v>0</v>
      </c>
      <c r="O6" t="n">
        <v>5</v>
      </c>
      <c r="P6" t="n">
        <v>2</v>
      </c>
      <c r="Q6" t="n">
        <v>10</v>
      </c>
      <c r="R6" s="2" t="inlineStr">
        <is>
          <t>Pärluggla
Garnlav
Kattfotslav
Skuggblåslav
Talltita
Stor revmossa
Vedticka
Järpe
Tjäder
Orre</t>
        </is>
      </c>
      <c r="S6">
        <f>HYPERLINK("https://klasma.github.io/Logging_1883/artfynd/A 59523-2025 artfynd.xlsx", "A 59523-2025")</f>
        <v/>
      </c>
      <c r="T6">
        <f>HYPERLINK("https://klasma.github.io/Logging_1883/kartor/A 59523-2025 karta.png", "A 59523-2025")</f>
        <v/>
      </c>
      <c r="V6">
        <f>HYPERLINK("https://klasma.github.io/Logging_1883/klagomål/A 59523-2025 FSC-klagomål.docx", "A 59523-2025")</f>
        <v/>
      </c>
      <c r="W6">
        <f>HYPERLINK("https://klasma.github.io/Logging_1883/klagomålsmail/A 59523-2025 FSC-klagomål mail.docx", "A 59523-2025")</f>
        <v/>
      </c>
      <c r="X6">
        <f>HYPERLINK("https://klasma.github.io/Logging_1883/tillsyn/A 59523-2025 tillsynsbegäran.docx", "A 59523-2025")</f>
        <v/>
      </c>
      <c r="Y6">
        <f>HYPERLINK("https://klasma.github.io/Logging_1883/tillsynsmail/A 59523-2025 tillsynsbegäran mail.docx", "A 59523-2025")</f>
        <v/>
      </c>
      <c r="Z6">
        <f>HYPERLINK("https://klasma.github.io/Logging_1883/fåglar/A 59523-2025 prioriterade fågelarter.docx", "A 59523-2025")</f>
        <v/>
      </c>
    </row>
    <row r="7" ht="15" customHeight="1">
      <c r="A7" t="inlineStr">
        <is>
          <t>A 8803-2026</t>
        </is>
      </c>
      <c r="B7" s="1" t="n">
        <v>46066</v>
      </c>
      <c r="C7" s="1" t="n">
        <v>46192</v>
      </c>
      <c r="D7" t="inlineStr">
        <is>
          <t>ÖREBRO LÄN</t>
        </is>
      </c>
      <c r="E7" t="inlineStr">
        <is>
          <t>KARLSKOGA</t>
        </is>
      </c>
      <c r="G7" t="n">
        <v>2.7</v>
      </c>
      <c r="H7" t="n">
        <v>0</v>
      </c>
      <c r="I7" t="n">
        <v>3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4</v>
      </c>
      <c r="R7" s="2" t="inlineStr">
        <is>
          <t>Dofttaggsvamp
Platt fjädermossa
Skogshakmossa
Trubbfjädermossa</t>
        </is>
      </c>
      <c r="S7">
        <f>HYPERLINK("https://klasma.github.io/Logging_1883/artfynd/A 8803-2026 artfynd.xlsx", "A 8803-2026")</f>
        <v/>
      </c>
      <c r="T7">
        <f>HYPERLINK("https://klasma.github.io/Logging_1883/kartor/A 8803-2026 karta.png", "A 8803-2026")</f>
        <v/>
      </c>
      <c r="V7">
        <f>HYPERLINK("https://klasma.github.io/Logging_1883/klagomål/A 8803-2026 FSC-klagomål.docx", "A 8803-2026")</f>
        <v/>
      </c>
      <c r="W7">
        <f>HYPERLINK("https://klasma.github.io/Logging_1883/klagomålsmail/A 8803-2026 FSC-klagomål mail.docx", "A 8803-2026")</f>
        <v/>
      </c>
      <c r="X7">
        <f>HYPERLINK("https://klasma.github.io/Logging_1883/tillsyn/A 8803-2026 tillsynsbegäran.docx", "A 8803-2026")</f>
        <v/>
      </c>
      <c r="Y7">
        <f>HYPERLINK("https://klasma.github.io/Logging_1883/tillsynsmail/A 8803-2026 tillsynsbegäran mail.docx", "A 8803-2026")</f>
        <v/>
      </c>
    </row>
    <row r="8" ht="15" customHeight="1">
      <c r="A8" t="inlineStr">
        <is>
          <t>A 60085-2021</t>
        </is>
      </c>
      <c r="B8" s="1" t="n">
        <v>44495</v>
      </c>
      <c r="C8" s="1" t="n">
        <v>46192</v>
      </c>
      <c r="D8" t="inlineStr">
        <is>
          <t>ÖREBRO LÄN</t>
        </is>
      </c>
      <c r="E8" t="inlineStr">
        <is>
          <t>KARLSKOGA</t>
        </is>
      </c>
      <c r="G8" t="n">
        <v>3.6</v>
      </c>
      <c r="H8" t="n">
        <v>0</v>
      </c>
      <c r="I8" t="n">
        <v>3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4</v>
      </c>
      <c r="R8" s="2" t="inlineStr">
        <is>
          <t>Citronfingersvamp
Mörk husmossa
Svart trolldruva
Västlig hakmossa</t>
        </is>
      </c>
      <c r="S8">
        <f>HYPERLINK("https://klasma.github.io/Logging_1883/artfynd/A 60085-2021 artfynd.xlsx", "A 60085-2021")</f>
        <v/>
      </c>
      <c r="T8">
        <f>HYPERLINK("https://klasma.github.io/Logging_1883/kartor/A 60085-2021 karta.png", "A 60085-2021")</f>
        <v/>
      </c>
      <c r="V8">
        <f>HYPERLINK("https://klasma.github.io/Logging_1883/klagomål/A 60085-2021 FSC-klagomål.docx", "A 60085-2021")</f>
        <v/>
      </c>
      <c r="W8">
        <f>HYPERLINK("https://klasma.github.io/Logging_1883/klagomålsmail/A 60085-2021 FSC-klagomål mail.docx", "A 60085-2021")</f>
        <v/>
      </c>
      <c r="X8">
        <f>HYPERLINK("https://klasma.github.io/Logging_1883/tillsyn/A 60085-2021 tillsynsbegäran.docx", "A 60085-2021")</f>
        <v/>
      </c>
      <c r="Y8">
        <f>HYPERLINK("https://klasma.github.io/Logging_1883/tillsynsmail/A 60085-2021 tillsynsbegäran mail.docx", "A 60085-2021")</f>
        <v/>
      </c>
    </row>
    <row r="9" ht="15" customHeight="1">
      <c r="A9" t="inlineStr">
        <is>
          <t>A 63187-2025</t>
        </is>
      </c>
      <c r="B9" s="1" t="n">
        <v>46010</v>
      </c>
      <c r="C9" s="1" t="n">
        <v>46192</v>
      </c>
      <c r="D9" t="inlineStr">
        <is>
          <t>ÖREBRO LÄN</t>
        </is>
      </c>
      <c r="E9" t="inlineStr">
        <is>
          <t>KARLSKOGA</t>
        </is>
      </c>
      <c r="F9" t="inlineStr">
        <is>
          <t>Sveaskog</t>
        </is>
      </c>
      <c r="G9" t="n">
        <v>1.3</v>
      </c>
      <c r="H9" t="n">
        <v>2</v>
      </c>
      <c r="I9" t="n">
        <v>2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4</v>
      </c>
      <c r="R9" s="2" t="inlineStr">
        <is>
          <t>Talltita
Bronshjon
Korallblylav
Tjäder</t>
        </is>
      </c>
      <c r="S9">
        <f>HYPERLINK("https://klasma.github.io/Logging_1883/artfynd/A 63187-2025 artfynd.xlsx", "A 63187-2025")</f>
        <v/>
      </c>
      <c r="T9">
        <f>HYPERLINK("https://klasma.github.io/Logging_1883/kartor/A 63187-2025 karta.png", "A 63187-2025")</f>
        <v/>
      </c>
      <c r="V9">
        <f>HYPERLINK("https://klasma.github.io/Logging_1883/klagomål/A 63187-2025 FSC-klagomål.docx", "A 63187-2025")</f>
        <v/>
      </c>
      <c r="W9">
        <f>HYPERLINK("https://klasma.github.io/Logging_1883/klagomålsmail/A 63187-2025 FSC-klagomål mail.docx", "A 63187-2025")</f>
        <v/>
      </c>
      <c r="X9">
        <f>HYPERLINK("https://klasma.github.io/Logging_1883/tillsyn/A 63187-2025 tillsynsbegäran.docx", "A 63187-2025")</f>
        <v/>
      </c>
      <c r="Y9">
        <f>HYPERLINK("https://klasma.github.io/Logging_1883/tillsynsmail/A 63187-2025 tillsynsbegäran mail.docx", "A 63187-2025")</f>
        <v/>
      </c>
      <c r="Z9">
        <f>HYPERLINK("https://klasma.github.io/Logging_1883/fåglar/A 63187-2025 prioriterade fågelarter.docx", "A 63187-2025")</f>
        <v/>
      </c>
    </row>
    <row r="10" ht="15" customHeight="1">
      <c r="A10" t="inlineStr">
        <is>
          <t>A 20111-2026</t>
        </is>
      </c>
      <c r="B10" s="1" t="n">
        <v>46136</v>
      </c>
      <c r="C10" s="1" t="n">
        <v>46192</v>
      </c>
      <c r="D10" t="inlineStr">
        <is>
          <t>ÖREBRO LÄN</t>
        </is>
      </c>
      <c r="E10" t="inlineStr">
        <is>
          <t>KARLSKOGA</t>
        </is>
      </c>
      <c r="F10" t="inlineStr">
        <is>
          <t>Sveaskog</t>
        </is>
      </c>
      <c r="G10" t="n">
        <v>8.699999999999999</v>
      </c>
      <c r="H10" t="n">
        <v>4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4</v>
      </c>
      <c r="R10" s="2" t="inlineStr">
        <is>
          <t>Spillkråka
Tjäder
Grönsiska
Kungsfågel</t>
        </is>
      </c>
      <c r="S10">
        <f>HYPERLINK("https://klasma.github.io/Logging_1883/artfynd/A 20111-2026 artfynd.xlsx", "A 20111-2026")</f>
        <v/>
      </c>
      <c r="T10">
        <f>HYPERLINK("https://klasma.github.io/Logging_1883/kartor/A 20111-2026 karta.png", "A 20111-2026")</f>
        <v/>
      </c>
      <c r="V10">
        <f>HYPERLINK("https://klasma.github.io/Logging_1883/klagomål/A 20111-2026 FSC-klagomål.docx", "A 20111-2026")</f>
        <v/>
      </c>
      <c r="W10">
        <f>HYPERLINK("https://klasma.github.io/Logging_1883/klagomålsmail/A 20111-2026 FSC-klagomål mail.docx", "A 20111-2026")</f>
        <v/>
      </c>
      <c r="X10">
        <f>HYPERLINK("https://klasma.github.io/Logging_1883/tillsyn/A 20111-2026 tillsynsbegäran.docx", "A 20111-2026")</f>
        <v/>
      </c>
      <c r="Y10">
        <f>HYPERLINK("https://klasma.github.io/Logging_1883/tillsynsmail/A 20111-2026 tillsynsbegäran mail.docx", "A 20111-2026")</f>
        <v/>
      </c>
      <c r="Z10">
        <f>HYPERLINK("https://klasma.github.io/Logging_1883/fåglar/A 20111-2026 prioriterade fågelarter.docx", "A 20111-2026")</f>
        <v/>
      </c>
    </row>
    <row r="11" ht="15" customHeight="1">
      <c r="A11" t="inlineStr">
        <is>
          <t>A 44723-2021</t>
        </is>
      </c>
      <c r="B11" s="1" t="n">
        <v>44438</v>
      </c>
      <c r="C11" s="1" t="n">
        <v>46192</v>
      </c>
      <c r="D11" t="inlineStr">
        <is>
          <t>ÖREBRO LÄN</t>
        </is>
      </c>
      <c r="E11" t="inlineStr">
        <is>
          <t>KARLSKOGA</t>
        </is>
      </c>
      <c r="G11" t="n">
        <v>0.6</v>
      </c>
      <c r="H11" t="n">
        <v>1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3</v>
      </c>
      <c r="R11" s="2" t="inlineStr">
        <is>
          <t>Kandelabersvamp
Rävticka
Blåsippa</t>
        </is>
      </c>
      <c r="S11">
        <f>HYPERLINK("https://klasma.github.io/Logging_1883/artfynd/A 44723-2021 artfynd.xlsx", "A 44723-2021")</f>
        <v/>
      </c>
      <c r="T11">
        <f>HYPERLINK("https://klasma.github.io/Logging_1883/kartor/A 44723-2021 karta.png", "A 44723-2021")</f>
        <v/>
      </c>
      <c r="V11">
        <f>HYPERLINK("https://klasma.github.io/Logging_1883/klagomål/A 44723-2021 FSC-klagomål.docx", "A 44723-2021")</f>
        <v/>
      </c>
      <c r="W11">
        <f>HYPERLINK("https://klasma.github.io/Logging_1883/klagomålsmail/A 44723-2021 FSC-klagomål mail.docx", "A 44723-2021")</f>
        <v/>
      </c>
      <c r="X11">
        <f>HYPERLINK("https://klasma.github.io/Logging_1883/tillsyn/A 44723-2021 tillsynsbegäran.docx", "A 44723-2021")</f>
        <v/>
      </c>
      <c r="Y11">
        <f>HYPERLINK("https://klasma.github.io/Logging_1883/tillsynsmail/A 44723-2021 tillsynsbegäran mail.docx", "A 44723-2021")</f>
        <v/>
      </c>
    </row>
    <row r="12" ht="15" customHeight="1">
      <c r="A12" t="inlineStr">
        <is>
          <t>A 63185-2025</t>
        </is>
      </c>
      <c r="B12" s="1" t="n">
        <v>46010</v>
      </c>
      <c r="C12" s="1" t="n">
        <v>46192</v>
      </c>
      <c r="D12" t="inlineStr">
        <is>
          <t>ÖREBRO LÄN</t>
        </is>
      </c>
      <c r="E12" t="inlineStr">
        <is>
          <t>KARLSKOGA</t>
        </is>
      </c>
      <c r="F12" t="inlineStr">
        <is>
          <t>Sveaskog</t>
        </is>
      </c>
      <c r="G12" t="n">
        <v>8.4</v>
      </c>
      <c r="H12" t="n">
        <v>2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3</v>
      </c>
      <c r="R12" s="2" t="inlineStr">
        <is>
          <t>Talltita
Brudborste
Revlummer</t>
        </is>
      </c>
      <c r="S12">
        <f>HYPERLINK("https://klasma.github.io/Logging_1883/artfynd/A 63185-2025 artfynd.xlsx", "A 63185-2025")</f>
        <v/>
      </c>
      <c r="T12">
        <f>HYPERLINK("https://klasma.github.io/Logging_1883/kartor/A 63185-2025 karta.png", "A 63185-2025")</f>
        <v/>
      </c>
      <c r="V12">
        <f>HYPERLINK("https://klasma.github.io/Logging_1883/klagomål/A 63185-2025 FSC-klagomål.docx", "A 63185-2025")</f>
        <v/>
      </c>
      <c r="W12">
        <f>HYPERLINK("https://klasma.github.io/Logging_1883/klagomålsmail/A 63185-2025 FSC-klagomål mail.docx", "A 63185-2025")</f>
        <v/>
      </c>
      <c r="X12">
        <f>HYPERLINK("https://klasma.github.io/Logging_1883/tillsyn/A 63185-2025 tillsynsbegäran.docx", "A 63185-2025")</f>
        <v/>
      </c>
      <c r="Y12">
        <f>HYPERLINK("https://klasma.github.io/Logging_1883/tillsynsmail/A 63185-2025 tillsynsbegäran mail.docx", "A 63185-2025")</f>
        <v/>
      </c>
      <c r="Z12">
        <f>HYPERLINK("https://klasma.github.io/Logging_1883/fåglar/A 63185-2025 prioriterade fågelarter.docx", "A 63185-2025")</f>
        <v/>
      </c>
    </row>
    <row r="13" ht="15" customHeight="1">
      <c r="A13" t="inlineStr">
        <is>
          <t>A 18428-2026</t>
        </is>
      </c>
      <c r="B13" s="1" t="n">
        <v>46127</v>
      </c>
      <c r="C13" s="1" t="n">
        <v>46192</v>
      </c>
      <c r="D13" t="inlineStr">
        <is>
          <t>ÖREBRO LÄN</t>
        </is>
      </c>
      <c r="E13" t="inlineStr">
        <is>
          <t>KARLSKOGA</t>
        </is>
      </c>
      <c r="F13" t="inlineStr">
        <is>
          <t>Sveaskog</t>
        </is>
      </c>
      <c r="G13" t="n">
        <v>6</v>
      </c>
      <c r="H13" t="n">
        <v>1</v>
      </c>
      <c r="I13" t="n">
        <v>0</v>
      </c>
      <c r="J13" t="n">
        <v>1</v>
      </c>
      <c r="K13" t="n">
        <v>1</v>
      </c>
      <c r="L13" t="n">
        <v>0</v>
      </c>
      <c r="M13" t="n">
        <v>0</v>
      </c>
      <c r="N13" t="n">
        <v>0</v>
      </c>
      <c r="O13" t="n">
        <v>2</v>
      </c>
      <c r="P13" t="n">
        <v>1</v>
      </c>
      <c r="Q13" t="n">
        <v>3</v>
      </c>
      <c r="R13" s="2" t="inlineStr">
        <is>
          <t>Garnlav
Skuggblåslav
Tjäder</t>
        </is>
      </c>
      <c r="S13">
        <f>HYPERLINK("https://klasma.github.io/Logging_1883/artfynd/A 18428-2026 artfynd.xlsx", "A 18428-2026")</f>
        <v/>
      </c>
      <c r="T13">
        <f>HYPERLINK("https://klasma.github.io/Logging_1883/kartor/A 18428-2026 karta.png", "A 18428-2026")</f>
        <v/>
      </c>
      <c r="V13">
        <f>HYPERLINK("https://klasma.github.io/Logging_1883/klagomål/A 18428-2026 FSC-klagomål.docx", "A 18428-2026")</f>
        <v/>
      </c>
      <c r="W13">
        <f>HYPERLINK("https://klasma.github.io/Logging_1883/klagomålsmail/A 18428-2026 FSC-klagomål mail.docx", "A 18428-2026")</f>
        <v/>
      </c>
      <c r="X13">
        <f>HYPERLINK("https://klasma.github.io/Logging_1883/tillsyn/A 18428-2026 tillsynsbegäran.docx", "A 18428-2026")</f>
        <v/>
      </c>
      <c r="Y13">
        <f>HYPERLINK("https://klasma.github.io/Logging_1883/tillsynsmail/A 18428-2026 tillsynsbegäran mail.docx", "A 18428-2026")</f>
        <v/>
      </c>
      <c r="Z13">
        <f>HYPERLINK("https://klasma.github.io/Logging_1883/fåglar/A 18428-2026 prioriterade fågelarter.docx", "A 18428-2026")</f>
        <v/>
      </c>
    </row>
    <row r="14" ht="15" customHeight="1">
      <c r="A14" t="inlineStr">
        <is>
          <t>A 20108-2026</t>
        </is>
      </c>
      <c r="B14" s="1" t="n">
        <v>46136</v>
      </c>
      <c r="C14" s="1" t="n">
        <v>46192</v>
      </c>
      <c r="D14" t="inlineStr">
        <is>
          <t>ÖREBRO LÄN</t>
        </is>
      </c>
      <c r="E14" t="inlineStr">
        <is>
          <t>KARLSKOGA</t>
        </is>
      </c>
      <c r="F14" t="inlineStr">
        <is>
          <t>Sveaskog</t>
        </is>
      </c>
      <c r="G14" t="n">
        <v>0.8</v>
      </c>
      <c r="H14" t="n">
        <v>1</v>
      </c>
      <c r="I14" t="n">
        <v>1</v>
      </c>
      <c r="J14" t="n">
        <v>1</v>
      </c>
      <c r="K14" t="n">
        <v>1</v>
      </c>
      <c r="L14" t="n">
        <v>0</v>
      </c>
      <c r="M14" t="n">
        <v>0</v>
      </c>
      <c r="N14" t="n">
        <v>0</v>
      </c>
      <c r="O14" t="n">
        <v>2</v>
      </c>
      <c r="P14" t="n">
        <v>1</v>
      </c>
      <c r="Q14" t="n">
        <v>3</v>
      </c>
      <c r="R14" s="2" t="inlineStr">
        <is>
          <t>Garnlav
Talltita
Vedticka</t>
        </is>
      </c>
      <c r="S14">
        <f>HYPERLINK("https://klasma.github.io/Logging_1883/artfynd/A 20108-2026 artfynd.xlsx", "A 20108-2026")</f>
        <v/>
      </c>
      <c r="T14">
        <f>HYPERLINK("https://klasma.github.io/Logging_1883/kartor/A 20108-2026 karta.png", "A 20108-2026")</f>
        <v/>
      </c>
      <c r="V14">
        <f>HYPERLINK("https://klasma.github.io/Logging_1883/klagomål/A 20108-2026 FSC-klagomål.docx", "A 20108-2026")</f>
        <v/>
      </c>
      <c r="W14">
        <f>HYPERLINK("https://klasma.github.io/Logging_1883/klagomålsmail/A 20108-2026 FSC-klagomål mail.docx", "A 20108-2026")</f>
        <v/>
      </c>
      <c r="X14">
        <f>HYPERLINK("https://klasma.github.io/Logging_1883/tillsyn/A 20108-2026 tillsynsbegäran.docx", "A 20108-2026")</f>
        <v/>
      </c>
      <c r="Y14">
        <f>HYPERLINK("https://klasma.github.io/Logging_1883/tillsynsmail/A 20108-2026 tillsynsbegäran mail.docx", "A 20108-2026")</f>
        <v/>
      </c>
      <c r="Z14">
        <f>HYPERLINK("https://klasma.github.io/Logging_1883/fåglar/A 20108-2026 prioriterade fågelarter.docx", "A 20108-2026")</f>
        <v/>
      </c>
    </row>
    <row r="15" ht="15" customHeight="1">
      <c r="A15" t="inlineStr">
        <is>
          <t>A 20112-2026</t>
        </is>
      </c>
      <c r="B15" s="1" t="n">
        <v>46136</v>
      </c>
      <c r="C15" s="1" t="n">
        <v>46192</v>
      </c>
      <c r="D15" t="inlineStr">
        <is>
          <t>ÖREBRO LÄN</t>
        </is>
      </c>
      <c r="E15" t="inlineStr">
        <is>
          <t>KARLSKOGA</t>
        </is>
      </c>
      <c r="F15" t="inlineStr">
        <is>
          <t>Sveaskog</t>
        </is>
      </c>
      <c r="G15" t="n">
        <v>2.9</v>
      </c>
      <c r="H15" t="n">
        <v>3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3</v>
      </c>
      <c r="R15" s="2" t="inlineStr">
        <is>
          <t>Tretåig hackspett
Spillkråka
Tofsmes</t>
        </is>
      </c>
      <c r="S15">
        <f>HYPERLINK("https://klasma.github.io/Logging_1883/artfynd/A 20112-2026 artfynd.xlsx", "A 20112-2026")</f>
        <v/>
      </c>
      <c r="T15">
        <f>HYPERLINK("https://klasma.github.io/Logging_1883/kartor/A 20112-2026 karta.png", "A 20112-2026")</f>
        <v/>
      </c>
      <c r="V15">
        <f>HYPERLINK("https://klasma.github.io/Logging_1883/klagomål/A 20112-2026 FSC-klagomål.docx", "A 20112-2026")</f>
        <v/>
      </c>
      <c r="W15">
        <f>HYPERLINK("https://klasma.github.io/Logging_1883/klagomålsmail/A 20112-2026 FSC-klagomål mail.docx", "A 20112-2026")</f>
        <v/>
      </c>
      <c r="X15">
        <f>HYPERLINK("https://klasma.github.io/Logging_1883/tillsyn/A 20112-2026 tillsynsbegäran.docx", "A 20112-2026")</f>
        <v/>
      </c>
      <c r="Y15">
        <f>HYPERLINK("https://klasma.github.io/Logging_1883/tillsynsmail/A 20112-2026 tillsynsbegäran mail.docx", "A 20112-2026")</f>
        <v/>
      </c>
      <c r="Z15">
        <f>HYPERLINK("https://klasma.github.io/Logging_1883/fåglar/A 20112-2026 prioriterade fågelarter.docx", "A 20112-2026")</f>
        <v/>
      </c>
    </row>
    <row r="16" ht="15" customHeight="1">
      <c r="A16" t="inlineStr">
        <is>
          <t>A 39025-2022</t>
        </is>
      </c>
      <c r="B16" s="1" t="n">
        <v>44817</v>
      </c>
      <c r="C16" s="1" t="n">
        <v>46192</v>
      </c>
      <c r="D16" t="inlineStr">
        <is>
          <t>ÖREBRO LÄN</t>
        </is>
      </c>
      <c r="E16" t="inlineStr">
        <is>
          <t>KARLSKOGA</t>
        </is>
      </c>
      <c r="F16" t="inlineStr">
        <is>
          <t>Sveaskog</t>
        </is>
      </c>
      <c r="G16" t="n">
        <v>3.2</v>
      </c>
      <c r="H16" t="n">
        <v>2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2</v>
      </c>
      <c r="R16" s="2" t="inlineStr">
        <is>
          <t>Talltita
Tjäder</t>
        </is>
      </c>
      <c r="S16">
        <f>HYPERLINK("https://klasma.github.io/Logging_1883/artfynd/A 39025-2022 artfynd.xlsx", "A 39025-2022")</f>
        <v/>
      </c>
      <c r="T16">
        <f>HYPERLINK("https://klasma.github.io/Logging_1883/kartor/A 39025-2022 karta.png", "A 39025-2022")</f>
        <v/>
      </c>
      <c r="V16">
        <f>HYPERLINK("https://klasma.github.io/Logging_1883/klagomål/A 39025-2022 FSC-klagomål.docx", "A 39025-2022")</f>
        <v/>
      </c>
      <c r="W16">
        <f>HYPERLINK("https://klasma.github.io/Logging_1883/klagomålsmail/A 39025-2022 FSC-klagomål mail.docx", "A 39025-2022")</f>
        <v/>
      </c>
      <c r="X16">
        <f>HYPERLINK("https://klasma.github.io/Logging_1883/tillsyn/A 39025-2022 tillsynsbegäran.docx", "A 39025-2022")</f>
        <v/>
      </c>
      <c r="Y16">
        <f>HYPERLINK("https://klasma.github.io/Logging_1883/tillsynsmail/A 39025-2022 tillsynsbegäran mail.docx", "A 39025-2022")</f>
        <v/>
      </c>
      <c r="Z16">
        <f>HYPERLINK("https://klasma.github.io/Logging_1883/fåglar/A 39025-2022 prioriterade fågelarter.docx", "A 39025-2022")</f>
        <v/>
      </c>
    </row>
    <row r="17" ht="15" customHeight="1">
      <c r="A17" t="inlineStr">
        <is>
          <t>A 39936-2024</t>
        </is>
      </c>
      <c r="B17" s="1" t="n">
        <v>45553</v>
      </c>
      <c r="C17" s="1" t="n">
        <v>46192</v>
      </c>
      <c r="D17" t="inlineStr">
        <is>
          <t>ÖREBRO LÄN</t>
        </is>
      </c>
      <c r="E17" t="inlineStr">
        <is>
          <t>KARLSKOGA</t>
        </is>
      </c>
      <c r="G17" t="n">
        <v>6.4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2</v>
      </c>
      <c r="R17" s="2" t="inlineStr">
        <is>
          <t>Storgröe
Utter</t>
        </is>
      </c>
      <c r="S17">
        <f>HYPERLINK("https://klasma.github.io/Logging_1883/artfynd/A 39936-2024 artfynd.xlsx", "A 39936-2024")</f>
        <v/>
      </c>
      <c r="T17">
        <f>HYPERLINK("https://klasma.github.io/Logging_1883/kartor/A 39936-2024 karta.png", "A 39936-2024")</f>
        <v/>
      </c>
      <c r="V17">
        <f>HYPERLINK("https://klasma.github.io/Logging_1883/klagomål/A 39936-2024 FSC-klagomål.docx", "A 39936-2024")</f>
        <v/>
      </c>
      <c r="W17">
        <f>HYPERLINK("https://klasma.github.io/Logging_1883/klagomålsmail/A 39936-2024 FSC-klagomål mail.docx", "A 39936-2024")</f>
        <v/>
      </c>
      <c r="X17">
        <f>HYPERLINK("https://klasma.github.io/Logging_1883/tillsyn/A 39936-2024 tillsynsbegäran.docx", "A 39936-2024")</f>
        <v/>
      </c>
      <c r="Y17">
        <f>HYPERLINK("https://klasma.github.io/Logging_1883/tillsynsmail/A 39936-2024 tillsynsbegäran mail.docx", "A 39936-2024")</f>
        <v/>
      </c>
    </row>
    <row r="18" ht="15" customHeight="1">
      <c r="A18" t="inlineStr">
        <is>
          <t>A 33290-2025</t>
        </is>
      </c>
      <c r="B18" s="1" t="n">
        <v>45840</v>
      </c>
      <c r="C18" s="1" t="n">
        <v>46192</v>
      </c>
      <c r="D18" t="inlineStr">
        <is>
          <t>ÖREBRO LÄN</t>
        </is>
      </c>
      <c r="E18" t="inlineStr">
        <is>
          <t>KARLSKOGA</t>
        </is>
      </c>
      <c r="F18" t="inlineStr">
        <is>
          <t>Kyrkan</t>
        </is>
      </c>
      <c r="G18" t="n">
        <v>9.4</v>
      </c>
      <c r="H18" t="n">
        <v>2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2</v>
      </c>
      <c r="R18" s="2" t="inlineStr">
        <is>
          <t>Nordfladdermus
Vattenfladdermus</t>
        </is>
      </c>
      <c r="S18">
        <f>HYPERLINK("https://klasma.github.io/Logging_1883/artfynd/A 33290-2025 artfynd.xlsx", "A 33290-2025")</f>
        <v/>
      </c>
      <c r="T18">
        <f>HYPERLINK("https://klasma.github.io/Logging_1883/kartor/A 33290-2025 karta.png", "A 33290-2025")</f>
        <v/>
      </c>
      <c r="V18">
        <f>HYPERLINK("https://klasma.github.io/Logging_1883/klagomål/A 33290-2025 FSC-klagomål.docx", "A 33290-2025")</f>
        <v/>
      </c>
      <c r="W18">
        <f>HYPERLINK("https://klasma.github.io/Logging_1883/klagomålsmail/A 33290-2025 FSC-klagomål mail.docx", "A 33290-2025")</f>
        <v/>
      </c>
      <c r="X18">
        <f>HYPERLINK("https://klasma.github.io/Logging_1883/tillsyn/A 33290-2025 tillsynsbegäran.docx", "A 33290-2025")</f>
        <v/>
      </c>
      <c r="Y18">
        <f>HYPERLINK("https://klasma.github.io/Logging_1883/tillsynsmail/A 33290-2025 tillsynsbegäran mail.docx", "A 33290-2025")</f>
        <v/>
      </c>
    </row>
    <row r="19" ht="15" customHeight="1">
      <c r="A19" t="inlineStr">
        <is>
          <t>A 24188-2024</t>
        </is>
      </c>
      <c r="B19" s="1" t="n">
        <v>45456</v>
      </c>
      <c r="C19" s="1" t="n">
        <v>46192</v>
      </c>
      <c r="D19" t="inlineStr">
        <is>
          <t>ÖREBRO LÄN</t>
        </is>
      </c>
      <c r="E19" t="inlineStr">
        <is>
          <t>KARLSKOGA</t>
        </is>
      </c>
      <c r="F19" t="inlineStr">
        <is>
          <t>Sveaskog</t>
        </is>
      </c>
      <c r="G19" t="n">
        <v>9</v>
      </c>
      <c r="H19" t="n">
        <v>0</v>
      </c>
      <c r="I19" t="n">
        <v>0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Garnlav</t>
        </is>
      </c>
      <c r="S19">
        <f>HYPERLINK("https://klasma.github.io/Logging_1883/artfynd/A 24188-2024 artfynd.xlsx", "A 24188-2024")</f>
        <v/>
      </c>
      <c r="T19">
        <f>HYPERLINK("https://klasma.github.io/Logging_1883/kartor/A 24188-2024 karta.png", "A 24188-2024")</f>
        <v/>
      </c>
      <c r="V19">
        <f>HYPERLINK("https://klasma.github.io/Logging_1883/klagomål/A 24188-2024 FSC-klagomål.docx", "A 24188-2024")</f>
        <v/>
      </c>
      <c r="W19">
        <f>HYPERLINK("https://klasma.github.io/Logging_1883/klagomålsmail/A 24188-2024 FSC-klagomål mail.docx", "A 24188-2024")</f>
        <v/>
      </c>
      <c r="X19">
        <f>HYPERLINK("https://klasma.github.io/Logging_1883/tillsyn/A 24188-2024 tillsynsbegäran.docx", "A 24188-2024")</f>
        <v/>
      </c>
      <c r="Y19">
        <f>HYPERLINK("https://klasma.github.io/Logging_1883/tillsynsmail/A 24188-2024 tillsynsbegäran mail.docx", "A 24188-2024")</f>
        <v/>
      </c>
    </row>
    <row r="20" ht="15" customHeight="1">
      <c r="A20" t="inlineStr">
        <is>
          <t>A 28566-2024</t>
        </is>
      </c>
      <c r="B20" s="1" t="n">
        <v>45478</v>
      </c>
      <c r="C20" s="1" t="n">
        <v>46192</v>
      </c>
      <c r="D20" t="inlineStr">
        <is>
          <t>ÖREBRO LÄN</t>
        </is>
      </c>
      <c r="E20" t="inlineStr">
        <is>
          <t>KARLSKOGA</t>
        </is>
      </c>
      <c r="G20" t="n">
        <v>1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Ärtsångare</t>
        </is>
      </c>
      <c r="S20">
        <f>HYPERLINK("https://klasma.github.io/Logging_1883/artfynd/A 28566-2024 artfynd.xlsx", "A 28566-2024")</f>
        <v/>
      </c>
      <c r="T20">
        <f>HYPERLINK("https://klasma.github.io/Logging_1883/kartor/A 28566-2024 karta.png", "A 28566-2024")</f>
        <v/>
      </c>
      <c r="V20">
        <f>HYPERLINK("https://klasma.github.io/Logging_1883/klagomål/A 28566-2024 FSC-klagomål.docx", "A 28566-2024")</f>
        <v/>
      </c>
      <c r="W20">
        <f>HYPERLINK("https://klasma.github.io/Logging_1883/klagomålsmail/A 28566-2024 FSC-klagomål mail.docx", "A 28566-2024")</f>
        <v/>
      </c>
      <c r="X20">
        <f>HYPERLINK("https://klasma.github.io/Logging_1883/tillsyn/A 28566-2024 tillsynsbegäran.docx", "A 28566-2024")</f>
        <v/>
      </c>
      <c r="Y20">
        <f>HYPERLINK("https://klasma.github.io/Logging_1883/tillsynsmail/A 28566-2024 tillsynsbegäran mail.docx", "A 28566-2024")</f>
        <v/>
      </c>
      <c r="Z20">
        <f>HYPERLINK("https://klasma.github.io/Logging_1883/fåglar/A 28566-2024 prioriterade fågelarter.docx", "A 28566-2024")</f>
        <v/>
      </c>
    </row>
    <row r="21" ht="15" customHeight="1">
      <c r="A21" t="inlineStr">
        <is>
          <t>A 52377-2025</t>
        </is>
      </c>
      <c r="B21" s="1" t="n">
        <v>45953</v>
      </c>
      <c r="C21" s="1" t="n">
        <v>46192</v>
      </c>
      <c r="D21" t="inlineStr">
        <is>
          <t>ÖREBRO LÄN</t>
        </is>
      </c>
      <c r="E21" t="inlineStr">
        <is>
          <t>KARLSKOGA</t>
        </is>
      </c>
      <c r="F21" t="inlineStr">
        <is>
          <t>Sveaskog</t>
        </is>
      </c>
      <c r="G21" t="n">
        <v>2.6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Fläcknycklar</t>
        </is>
      </c>
      <c r="S21">
        <f>HYPERLINK("https://klasma.github.io/Logging_1883/artfynd/A 52377-2025 artfynd.xlsx", "A 52377-2025")</f>
        <v/>
      </c>
      <c r="T21">
        <f>HYPERLINK("https://klasma.github.io/Logging_1883/kartor/A 52377-2025 karta.png", "A 52377-2025")</f>
        <v/>
      </c>
      <c r="V21">
        <f>HYPERLINK("https://klasma.github.io/Logging_1883/klagomål/A 52377-2025 FSC-klagomål.docx", "A 52377-2025")</f>
        <v/>
      </c>
      <c r="W21">
        <f>HYPERLINK("https://klasma.github.io/Logging_1883/klagomålsmail/A 52377-2025 FSC-klagomål mail.docx", "A 52377-2025")</f>
        <v/>
      </c>
      <c r="X21">
        <f>HYPERLINK("https://klasma.github.io/Logging_1883/tillsyn/A 52377-2025 tillsynsbegäran.docx", "A 52377-2025")</f>
        <v/>
      </c>
      <c r="Y21">
        <f>HYPERLINK("https://klasma.github.io/Logging_1883/tillsynsmail/A 52377-2025 tillsynsbegäran mail.docx", "A 52377-2025")</f>
        <v/>
      </c>
    </row>
    <row r="22" ht="15" customHeight="1">
      <c r="A22" t="inlineStr">
        <is>
          <t>A 40528-2024</t>
        </is>
      </c>
      <c r="B22" s="1" t="n">
        <v>45555</v>
      </c>
      <c r="C22" s="1" t="n">
        <v>46192</v>
      </c>
      <c r="D22" t="inlineStr">
        <is>
          <t>ÖREBRO LÄN</t>
        </is>
      </c>
      <c r="E22" t="inlineStr">
        <is>
          <t>KARLSKOGA</t>
        </is>
      </c>
      <c r="G22" t="n">
        <v>2.8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Mattlummer</t>
        </is>
      </c>
      <c r="S22">
        <f>HYPERLINK("https://klasma.github.io/Logging_1883/artfynd/A 40528-2024 artfynd.xlsx", "A 40528-2024")</f>
        <v/>
      </c>
      <c r="T22">
        <f>HYPERLINK("https://klasma.github.io/Logging_1883/kartor/A 40528-2024 karta.png", "A 40528-2024")</f>
        <v/>
      </c>
      <c r="V22">
        <f>HYPERLINK("https://klasma.github.io/Logging_1883/klagomål/A 40528-2024 FSC-klagomål.docx", "A 40528-2024")</f>
        <v/>
      </c>
      <c r="W22">
        <f>HYPERLINK("https://klasma.github.io/Logging_1883/klagomålsmail/A 40528-2024 FSC-klagomål mail.docx", "A 40528-2024")</f>
        <v/>
      </c>
      <c r="X22">
        <f>HYPERLINK("https://klasma.github.io/Logging_1883/tillsyn/A 40528-2024 tillsynsbegäran.docx", "A 40528-2024")</f>
        <v/>
      </c>
      <c r="Y22">
        <f>HYPERLINK("https://klasma.github.io/Logging_1883/tillsynsmail/A 40528-2024 tillsynsbegäran mail.docx", "A 40528-2024")</f>
        <v/>
      </c>
    </row>
    <row r="23" ht="15" customHeight="1">
      <c r="A23" t="inlineStr">
        <is>
          <t>A 12690-2026</t>
        </is>
      </c>
      <c r="B23" s="1" t="n">
        <v>46091</v>
      </c>
      <c r="C23" s="1" t="n">
        <v>46192</v>
      </c>
      <c r="D23" t="inlineStr">
        <is>
          <t>ÖREBRO LÄN</t>
        </is>
      </c>
      <c r="E23" t="inlineStr">
        <is>
          <t>KARLSKOGA</t>
        </is>
      </c>
      <c r="F23" t="inlineStr">
        <is>
          <t>Övriga Aktiebolag</t>
        </is>
      </c>
      <c r="G23" t="n">
        <v>4.8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Fjällig taggsvamp s.str.</t>
        </is>
      </c>
      <c r="S23">
        <f>HYPERLINK("https://klasma.github.io/Logging_1883/artfynd/A 12690-2026 artfynd.xlsx", "A 12690-2026")</f>
        <v/>
      </c>
      <c r="T23">
        <f>HYPERLINK("https://klasma.github.io/Logging_1883/kartor/A 12690-2026 karta.png", "A 12690-2026")</f>
        <v/>
      </c>
      <c r="V23">
        <f>HYPERLINK("https://klasma.github.io/Logging_1883/klagomål/A 12690-2026 FSC-klagomål.docx", "A 12690-2026")</f>
        <v/>
      </c>
      <c r="W23">
        <f>HYPERLINK("https://klasma.github.io/Logging_1883/klagomålsmail/A 12690-2026 FSC-klagomål mail.docx", "A 12690-2026")</f>
        <v/>
      </c>
      <c r="X23">
        <f>HYPERLINK("https://klasma.github.io/Logging_1883/tillsyn/A 12690-2026 tillsynsbegäran.docx", "A 12690-2026")</f>
        <v/>
      </c>
      <c r="Y23">
        <f>HYPERLINK("https://klasma.github.io/Logging_1883/tillsynsmail/A 12690-2026 tillsynsbegäran mail.docx", "A 12690-2026")</f>
        <v/>
      </c>
    </row>
    <row r="24" ht="15" customHeight="1">
      <c r="A24" t="inlineStr">
        <is>
          <t>A 63188-2025</t>
        </is>
      </c>
      <c r="B24" s="1" t="n">
        <v>46010</v>
      </c>
      <c r="C24" s="1" t="n">
        <v>46192</v>
      </c>
      <c r="D24" t="inlineStr">
        <is>
          <t>ÖREBRO LÄN</t>
        </is>
      </c>
      <c r="E24" t="inlineStr">
        <is>
          <t>KARLSKOGA</t>
        </is>
      </c>
      <c r="F24" t="inlineStr">
        <is>
          <t>Sveaskog</t>
        </is>
      </c>
      <c r="G24" t="n">
        <v>1.1</v>
      </c>
      <c r="H24" t="n">
        <v>1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Tretåig hackspett</t>
        </is>
      </c>
      <c r="S24">
        <f>HYPERLINK("https://klasma.github.io/Logging_1883/artfynd/A 63188-2025 artfynd.xlsx", "A 63188-2025")</f>
        <v/>
      </c>
      <c r="T24">
        <f>HYPERLINK("https://klasma.github.io/Logging_1883/kartor/A 63188-2025 karta.png", "A 63188-2025")</f>
        <v/>
      </c>
      <c r="V24">
        <f>HYPERLINK("https://klasma.github.io/Logging_1883/klagomål/A 63188-2025 FSC-klagomål.docx", "A 63188-2025")</f>
        <v/>
      </c>
      <c r="W24">
        <f>HYPERLINK("https://klasma.github.io/Logging_1883/klagomålsmail/A 63188-2025 FSC-klagomål mail.docx", "A 63188-2025")</f>
        <v/>
      </c>
      <c r="X24">
        <f>HYPERLINK("https://klasma.github.io/Logging_1883/tillsyn/A 63188-2025 tillsynsbegäran.docx", "A 63188-2025")</f>
        <v/>
      </c>
      <c r="Y24">
        <f>HYPERLINK("https://klasma.github.io/Logging_1883/tillsynsmail/A 63188-2025 tillsynsbegäran mail.docx", "A 63188-2025")</f>
        <v/>
      </c>
      <c r="Z24">
        <f>HYPERLINK("https://klasma.github.io/Logging_1883/fåglar/A 63188-2025 prioriterade fågelarter.docx", "A 63188-2025")</f>
        <v/>
      </c>
    </row>
    <row r="25" ht="15" customHeight="1">
      <c r="A25" t="inlineStr">
        <is>
          <t>A 16784-2026</t>
        </is>
      </c>
      <c r="B25" s="1" t="n">
        <v>46113</v>
      </c>
      <c r="C25" s="1" t="n">
        <v>46192</v>
      </c>
      <c r="D25" t="inlineStr">
        <is>
          <t>ÖREBRO LÄN</t>
        </is>
      </c>
      <c r="E25" t="inlineStr">
        <is>
          <t>KARLSKOGA</t>
        </is>
      </c>
      <c r="F25" t="inlineStr">
        <is>
          <t>Sveaskog</t>
        </is>
      </c>
      <c r="G25" t="n">
        <v>4.2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Hårklomossa</t>
        </is>
      </c>
      <c r="S25">
        <f>HYPERLINK("https://klasma.github.io/Logging_1883/artfynd/A 16784-2026 artfynd.xlsx", "A 16784-2026")</f>
        <v/>
      </c>
      <c r="T25">
        <f>HYPERLINK("https://klasma.github.io/Logging_1883/kartor/A 16784-2026 karta.png", "A 16784-2026")</f>
        <v/>
      </c>
      <c r="V25">
        <f>HYPERLINK("https://klasma.github.io/Logging_1883/klagomål/A 16784-2026 FSC-klagomål.docx", "A 16784-2026")</f>
        <v/>
      </c>
      <c r="W25">
        <f>HYPERLINK("https://klasma.github.io/Logging_1883/klagomålsmail/A 16784-2026 FSC-klagomål mail.docx", "A 16784-2026")</f>
        <v/>
      </c>
      <c r="X25">
        <f>HYPERLINK("https://klasma.github.io/Logging_1883/tillsyn/A 16784-2026 tillsynsbegäran.docx", "A 16784-2026")</f>
        <v/>
      </c>
      <c r="Y25">
        <f>HYPERLINK("https://klasma.github.io/Logging_1883/tillsynsmail/A 16784-2026 tillsynsbegäran mail.docx", "A 16784-2026")</f>
        <v/>
      </c>
    </row>
    <row r="26" ht="15" customHeight="1">
      <c r="A26" t="inlineStr">
        <is>
          <t>A 18427-2026</t>
        </is>
      </c>
      <c r="B26" s="1" t="n">
        <v>46127</v>
      </c>
      <c r="C26" s="1" t="n">
        <v>46192</v>
      </c>
      <c r="D26" t="inlineStr">
        <is>
          <t>ÖREBRO LÄN</t>
        </is>
      </c>
      <c r="E26" t="inlineStr">
        <is>
          <t>KARLSKOGA</t>
        </is>
      </c>
      <c r="F26" t="inlineStr">
        <is>
          <t>Sveaskog</t>
        </is>
      </c>
      <c r="G26" t="n">
        <v>3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Tjäder</t>
        </is>
      </c>
      <c r="S26">
        <f>HYPERLINK("https://klasma.github.io/Logging_1883/artfynd/A 18427-2026 artfynd.xlsx", "A 18427-2026")</f>
        <v/>
      </c>
      <c r="T26">
        <f>HYPERLINK("https://klasma.github.io/Logging_1883/kartor/A 18427-2026 karta.png", "A 18427-2026")</f>
        <v/>
      </c>
      <c r="V26">
        <f>HYPERLINK("https://klasma.github.io/Logging_1883/klagomål/A 18427-2026 FSC-klagomål.docx", "A 18427-2026")</f>
        <v/>
      </c>
      <c r="W26">
        <f>HYPERLINK("https://klasma.github.io/Logging_1883/klagomålsmail/A 18427-2026 FSC-klagomål mail.docx", "A 18427-2026")</f>
        <v/>
      </c>
      <c r="X26">
        <f>HYPERLINK("https://klasma.github.io/Logging_1883/tillsyn/A 18427-2026 tillsynsbegäran.docx", "A 18427-2026")</f>
        <v/>
      </c>
      <c r="Y26">
        <f>HYPERLINK("https://klasma.github.io/Logging_1883/tillsynsmail/A 18427-2026 tillsynsbegäran mail.docx", "A 18427-2026")</f>
        <v/>
      </c>
      <c r="Z26">
        <f>HYPERLINK("https://klasma.github.io/Logging_1883/fåglar/A 18427-2026 prioriterade fågelarter.docx", "A 18427-2026")</f>
        <v/>
      </c>
    </row>
    <row r="27" ht="15" customHeight="1">
      <c r="A27" t="inlineStr">
        <is>
          <t>A 19233-2026</t>
        </is>
      </c>
      <c r="B27" s="1" t="n">
        <v>46132</v>
      </c>
      <c r="C27" s="1" t="n">
        <v>46192</v>
      </c>
      <c r="D27" t="inlineStr">
        <is>
          <t>ÖREBRO LÄN</t>
        </is>
      </c>
      <c r="E27" t="inlineStr">
        <is>
          <t>KARLSKOGA</t>
        </is>
      </c>
      <c r="G27" t="n">
        <v>1.6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Svart trolldruva</t>
        </is>
      </c>
      <c r="S27">
        <f>HYPERLINK("https://klasma.github.io/Logging_1883/artfynd/A 19233-2026 artfynd.xlsx", "A 19233-2026")</f>
        <v/>
      </c>
      <c r="T27">
        <f>HYPERLINK("https://klasma.github.io/Logging_1883/kartor/A 19233-2026 karta.png", "A 19233-2026")</f>
        <v/>
      </c>
      <c r="V27">
        <f>HYPERLINK("https://klasma.github.io/Logging_1883/klagomål/A 19233-2026 FSC-klagomål.docx", "A 19233-2026")</f>
        <v/>
      </c>
      <c r="W27">
        <f>HYPERLINK("https://klasma.github.io/Logging_1883/klagomålsmail/A 19233-2026 FSC-klagomål mail.docx", "A 19233-2026")</f>
        <v/>
      </c>
      <c r="X27">
        <f>HYPERLINK("https://klasma.github.io/Logging_1883/tillsyn/A 19233-2026 tillsynsbegäran.docx", "A 19233-2026")</f>
        <v/>
      </c>
      <c r="Y27">
        <f>HYPERLINK("https://klasma.github.io/Logging_1883/tillsynsmail/A 19233-2026 tillsynsbegäran mail.docx", "A 19233-2026")</f>
        <v/>
      </c>
    </row>
    <row r="28" ht="15" customHeight="1">
      <c r="A28" t="inlineStr">
        <is>
          <t>A 20110-2026</t>
        </is>
      </c>
      <c r="B28" s="1" t="n">
        <v>46136</v>
      </c>
      <c r="C28" s="1" t="n">
        <v>46192</v>
      </c>
      <c r="D28" t="inlineStr">
        <is>
          <t>ÖREBRO LÄN</t>
        </is>
      </c>
      <c r="E28" t="inlineStr">
        <is>
          <t>KARLSKOGA</t>
        </is>
      </c>
      <c r="F28" t="inlineStr">
        <is>
          <t>Sveaskog</t>
        </is>
      </c>
      <c r="G28" t="n">
        <v>5.4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Revlummer</t>
        </is>
      </c>
      <c r="S28">
        <f>HYPERLINK("https://klasma.github.io/Logging_1883/artfynd/A 20110-2026 artfynd.xlsx", "A 20110-2026")</f>
        <v/>
      </c>
      <c r="T28">
        <f>HYPERLINK("https://klasma.github.io/Logging_1883/kartor/A 20110-2026 karta.png", "A 20110-2026")</f>
        <v/>
      </c>
      <c r="V28">
        <f>HYPERLINK("https://klasma.github.io/Logging_1883/klagomål/A 20110-2026 FSC-klagomål.docx", "A 20110-2026")</f>
        <v/>
      </c>
      <c r="W28">
        <f>HYPERLINK("https://klasma.github.io/Logging_1883/klagomålsmail/A 20110-2026 FSC-klagomål mail.docx", "A 20110-2026")</f>
        <v/>
      </c>
      <c r="X28">
        <f>HYPERLINK("https://klasma.github.io/Logging_1883/tillsyn/A 20110-2026 tillsynsbegäran.docx", "A 20110-2026")</f>
        <v/>
      </c>
      <c r="Y28">
        <f>HYPERLINK("https://klasma.github.io/Logging_1883/tillsynsmail/A 20110-2026 tillsynsbegäran mail.docx", "A 20110-2026")</f>
        <v/>
      </c>
    </row>
    <row r="29" ht="15" customHeight="1">
      <c r="A29" t="inlineStr">
        <is>
          <t>A 58091-2022</t>
        </is>
      </c>
      <c r="B29" s="1" t="n">
        <v>44900</v>
      </c>
      <c r="C29" s="1" t="n">
        <v>46192</v>
      </c>
      <c r="D29" t="inlineStr">
        <is>
          <t>ÖREBRO LÄN</t>
        </is>
      </c>
      <c r="E29" t="inlineStr">
        <is>
          <t>KARLSKOGA</t>
        </is>
      </c>
      <c r="F29" t="inlineStr">
        <is>
          <t>Sveaskog</t>
        </is>
      </c>
      <c r="G29" t="n">
        <v>2.1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Hårklomossa</t>
        </is>
      </c>
      <c r="S29">
        <f>HYPERLINK("https://klasma.github.io/Logging_1883/artfynd/A 58091-2022 artfynd.xlsx", "A 58091-2022")</f>
        <v/>
      </c>
      <c r="T29">
        <f>HYPERLINK("https://klasma.github.io/Logging_1883/kartor/A 58091-2022 karta.png", "A 58091-2022")</f>
        <v/>
      </c>
      <c r="V29">
        <f>HYPERLINK("https://klasma.github.io/Logging_1883/klagomål/A 58091-2022 FSC-klagomål.docx", "A 58091-2022")</f>
        <v/>
      </c>
      <c r="W29">
        <f>HYPERLINK("https://klasma.github.io/Logging_1883/klagomålsmail/A 58091-2022 FSC-klagomål mail.docx", "A 58091-2022")</f>
        <v/>
      </c>
      <c r="X29">
        <f>HYPERLINK("https://klasma.github.io/Logging_1883/tillsyn/A 58091-2022 tillsynsbegäran.docx", "A 58091-2022")</f>
        <v/>
      </c>
      <c r="Y29">
        <f>HYPERLINK("https://klasma.github.io/Logging_1883/tillsynsmail/A 58091-2022 tillsynsbegäran mail.docx", "A 58091-2022")</f>
        <v/>
      </c>
    </row>
    <row r="30" ht="15" customHeight="1">
      <c r="A30" t="inlineStr">
        <is>
          <t>A 21019-2026</t>
        </is>
      </c>
      <c r="B30" s="1" t="n">
        <v>46145</v>
      </c>
      <c r="C30" s="1" t="n">
        <v>46192</v>
      </c>
      <c r="D30" t="inlineStr">
        <is>
          <t>ÖREBRO LÄN</t>
        </is>
      </c>
      <c r="E30" t="inlineStr">
        <is>
          <t>KARLSKOGA</t>
        </is>
      </c>
      <c r="F30" t="inlineStr">
        <is>
          <t>Sveaskog</t>
        </is>
      </c>
      <c r="G30" t="n">
        <v>4.7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Åkergroda</t>
        </is>
      </c>
      <c r="S30">
        <f>HYPERLINK("https://klasma.github.io/Logging_1883/artfynd/A 21019-2026 artfynd.xlsx", "A 21019-2026")</f>
        <v/>
      </c>
      <c r="T30">
        <f>HYPERLINK("https://klasma.github.io/Logging_1883/kartor/A 21019-2026 karta.png", "A 21019-2026")</f>
        <v/>
      </c>
      <c r="V30">
        <f>HYPERLINK("https://klasma.github.io/Logging_1883/klagomål/A 21019-2026 FSC-klagomål.docx", "A 21019-2026")</f>
        <v/>
      </c>
      <c r="W30">
        <f>HYPERLINK("https://klasma.github.io/Logging_1883/klagomålsmail/A 21019-2026 FSC-klagomål mail.docx", "A 21019-2026")</f>
        <v/>
      </c>
      <c r="X30">
        <f>HYPERLINK("https://klasma.github.io/Logging_1883/tillsyn/A 21019-2026 tillsynsbegäran.docx", "A 21019-2026")</f>
        <v/>
      </c>
      <c r="Y30">
        <f>HYPERLINK("https://klasma.github.io/Logging_1883/tillsynsmail/A 21019-2026 tillsynsbegäran mail.docx", "A 21019-2026")</f>
        <v/>
      </c>
    </row>
    <row r="31" ht="15" customHeight="1">
      <c r="A31" t="inlineStr">
        <is>
          <t>A 73701-2021</t>
        </is>
      </c>
      <c r="B31" s="1" t="n">
        <v>44552</v>
      </c>
      <c r="C31" s="1" t="n">
        <v>46192</v>
      </c>
      <c r="D31" t="inlineStr">
        <is>
          <t>ÖREBRO LÄN</t>
        </is>
      </c>
      <c r="E31" t="inlineStr">
        <is>
          <t>KARLSKOGA</t>
        </is>
      </c>
      <c r="F31" t="inlineStr">
        <is>
          <t>Sveaskog</t>
        </is>
      </c>
      <c r="G31" t="n">
        <v>2.9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64133-2021</t>
        </is>
      </c>
      <c r="B32" s="1" t="n">
        <v>44510</v>
      </c>
      <c r="C32" s="1" t="n">
        <v>46192</v>
      </c>
      <c r="D32" t="inlineStr">
        <is>
          <t>ÖREBRO LÄN</t>
        </is>
      </c>
      <c r="E32" t="inlineStr">
        <is>
          <t>KARLSKOGA</t>
        </is>
      </c>
      <c r="G32" t="n">
        <v>3.7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34457-2021</t>
        </is>
      </c>
      <c r="B33" s="1" t="n">
        <v>44381</v>
      </c>
      <c r="C33" s="1" t="n">
        <v>46192</v>
      </c>
      <c r="D33" t="inlineStr">
        <is>
          <t>ÖREBRO LÄN</t>
        </is>
      </c>
      <c r="E33" t="inlineStr">
        <is>
          <t>KARLSKOGA</t>
        </is>
      </c>
      <c r="G33" t="n">
        <v>0.2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72803-2021</t>
        </is>
      </c>
      <c r="B34" s="1" t="n">
        <v>44546</v>
      </c>
      <c r="C34" s="1" t="n">
        <v>46192</v>
      </c>
      <c r="D34" t="inlineStr">
        <is>
          <t>ÖREBRO LÄN</t>
        </is>
      </c>
      <c r="E34" t="inlineStr">
        <is>
          <t>KARLSKOGA</t>
        </is>
      </c>
      <c r="G34" t="n">
        <v>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47669-2021</t>
        </is>
      </c>
      <c r="B35" s="1" t="n">
        <v>44448</v>
      </c>
      <c r="C35" s="1" t="n">
        <v>46192</v>
      </c>
      <c r="D35" t="inlineStr">
        <is>
          <t>ÖREBRO LÄN</t>
        </is>
      </c>
      <c r="E35" t="inlineStr">
        <is>
          <t>KARLSKOGA</t>
        </is>
      </c>
      <c r="G35" t="n">
        <v>1.8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25548-2022</t>
        </is>
      </c>
      <c r="B36" s="1" t="n">
        <v>44732</v>
      </c>
      <c r="C36" s="1" t="n">
        <v>46192</v>
      </c>
      <c r="D36" t="inlineStr">
        <is>
          <t>ÖREBRO LÄN</t>
        </is>
      </c>
      <c r="E36" t="inlineStr">
        <is>
          <t>KARLSKOGA</t>
        </is>
      </c>
      <c r="G36" t="n">
        <v>2.3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50991-2021</t>
        </is>
      </c>
      <c r="B37" s="1" t="n">
        <v>44460</v>
      </c>
      <c r="C37" s="1" t="n">
        <v>46192</v>
      </c>
      <c r="D37" t="inlineStr">
        <is>
          <t>ÖREBRO LÄN</t>
        </is>
      </c>
      <c r="E37" t="inlineStr">
        <is>
          <t>KARLSKOGA</t>
        </is>
      </c>
      <c r="G37" t="n">
        <v>0.8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32408-2021</t>
        </is>
      </c>
      <c r="B38" s="1" t="n">
        <v>44371</v>
      </c>
      <c r="C38" s="1" t="n">
        <v>46192</v>
      </c>
      <c r="D38" t="inlineStr">
        <is>
          <t>ÖREBRO LÄN</t>
        </is>
      </c>
      <c r="E38" t="inlineStr">
        <is>
          <t>KARLSKOGA</t>
        </is>
      </c>
      <c r="F38" t="inlineStr">
        <is>
          <t>Sveaskog</t>
        </is>
      </c>
      <c r="G38" t="n">
        <v>0.7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34460-2021</t>
        </is>
      </c>
      <c r="B39" s="1" t="n">
        <v>44381</v>
      </c>
      <c r="C39" s="1" t="n">
        <v>46192</v>
      </c>
      <c r="D39" t="inlineStr">
        <is>
          <t>ÖREBRO LÄN</t>
        </is>
      </c>
      <c r="E39" t="inlineStr">
        <is>
          <t>KARLSKOGA</t>
        </is>
      </c>
      <c r="G39" t="n">
        <v>3.4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22861-2022</t>
        </is>
      </c>
      <c r="B40" s="1" t="n">
        <v>44715</v>
      </c>
      <c r="C40" s="1" t="n">
        <v>46192</v>
      </c>
      <c r="D40" t="inlineStr">
        <is>
          <t>ÖREBRO LÄN</t>
        </is>
      </c>
      <c r="E40" t="inlineStr">
        <is>
          <t>KARLSKOGA</t>
        </is>
      </c>
      <c r="G40" t="n">
        <v>0.6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64869-2021</t>
        </is>
      </c>
      <c r="B41" s="1" t="n">
        <v>44512</v>
      </c>
      <c r="C41" s="1" t="n">
        <v>46192</v>
      </c>
      <c r="D41" t="inlineStr">
        <is>
          <t>ÖREBRO LÄN</t>
        </is>
      </c>
      <c r="E41" t="inlineStr">
        <is>
          <t>KARLSKOGA</t>
        </is>
      </c>
      <c r="F41" t="inlineStr">
        <is>
          <t>Sveaskog</t>
        </is>
      </c>
      <c r="G41" t="n">
        <v>3.6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41026-2021</t>
        </is>
      </c>
      <c r="B42" s="1" t="n">
        <v>44421</v>
      </c>
      <c r="C42" s="1" t="n">
        <v>46192</v>
      </c>
      <c r="D42" t="inlineStr">
        <is>
          <t>ÖREBRO LÄN</t>
        </is>
      </c>
      <c r="E42" t="inlineStr">
        <is>
          <t>KARLSKOGA</t>
        </is>
      </c>
      <c r="F42" t="inlineStr">
        <is>
          <t>Sveaskog</t>
        </is>
      </c>
      <c r="G42" t="n">
        <v>1.6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63671-2021</t>
        </is>
      </c>
      <c r="B43" s="1" t="n">
        <v>44508</v>
      </c>
      <c r="C43" s="1" t="n">
        <v>46192</v>
      </c>
      <c r="D43" t="inlineStr">
        <is>
          <t>ÖREBRO LÄN</t>
        </is>
      </c>
      <c r="E43" t="inlineStr">
        <is>
          <t>KARLSKOGA</t>
        </is>
      </c>
      <c r="F43" t="inlineStr">
        <is>
          <t>Kommuner</t>
        </is>
      </c>
      <c r="G43" t="n">
        <v>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56435-2021</t>
        </is>
      </c>
      <c r="B44" s="1" t="n">
        <v>44480</v>
      </c>
      <c r="C44" s="1" t="n">
        <v>46192</v>
      </c>
      <c r="D44" t="inlineStr">
        <is>
          <t>ÖREBRO LÄN</t>
        </is>
      </c>
      <c r="E44" t="inlineStr">
        <is>
          <t>KARLSKOGA</t>
        </is>
      </c>
      <c r="G44" t="n">
        <v>1.3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37582-2022</t>
        </is>
      </c>
      <c r="B45" s="1" t="n">
        <v>44809</v>
      </c>
      <c r="C45" s="1" t="n">
        <v>46192</v>
      </c>
      <c r="D45" t="inlineStr">
        <is>
          <t>ÖREBRO LÄN</t>
        </is>
      </c>
      <c r="E45" t="inlineStr">
        <is>
          <t>KARLSKOGA</t>
        </is>
      </c>
      <c r="G45" t="n">
        <v>0.8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38012-2022</t>
        </is>
      </c>
      <c r="B46" s="1" t="n">
        <v>44811</v>
      </c>
      <c r="C46" s="1" t="n">
        <v>46192</v>
      </c>
      <c r="D46" t="inlineStr">
        <is>
          <t>ÖREBRO LÄN</t>
        </is>
      </c>
      <c r="E46" t="inlineStr">
        <is>
          <t>KARLSKOGA</t>
        </is>
      </c>
      <c r="G46" t="n">
        <v>3.7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11081-2022</t>
        </is>
      </c>
      <c r="B47" s="1" t="n">
        <v>44628</v>
      </c>
      <c r="C47" s="1" t="n">
        <v>46192</v>
      </c>
      <c r="D47" t="inlineStr">
        <is>
          <t>ÖREBRO LÄN</t>
        </is>
      </c>
      <c r="E47" t="inlineStr">
        <is>
          <t>KARLSKOGA</t>
        </is>
      </c>
      <c r="F47" t="inlineStr">
        <is>
          <t>Sveaskog</t>
        </is>
      </c>
      <c r="G47" t="n">
        <v>0.7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37584-2022</t>
        </is>
      </c>
      <c r="B48" s="1" t="n">
        <v>44809</v>
      </c>
      <c r="C48" s="1" t="n">
        <v>46192</v>
      </c>
      <c r="D48" t="inlineStr">
        <is>
          <t>ÖREBRO LÄN</t>
        </is>
      </c>
      <c r="E48" t="inlineStr">
        <is>
          <t>KARLSKOGA</t>
        </is>
      </c>
      <c r="G48" t="n">
        <v>4.9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45117-2021</t>
        </is>
      </c>
      <c r="B49" s="1" t="n">
        <v>44439</v>
      </c>
      <c r="C49" s="1" t="n">
        <v>46192</v>
      </c>
      <c r="D49" t="inlineStr">
        <is>
          <t>ÖREBRO LÄN</t>
        </is>
      </c>
      <c r="E49" t="inlineStr">
        <is>
          <t>KARLSKOGA</t>
        </is>
      </c>
      <c r="G49" t="n">
        <v>6.5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24255-2024</t>
        </is>
      </c>
      <c r="B50" s="1" t="n">
        <v>45457</v>
      </c>
      <c r="C50" s="1" t="n">
        <v>46192</v>
      </c>
      <c r="D50" t="inlineStr">
        <is>
          <t>ÖREBRO LÄN</t>
        </is>
      </c>
      <c r="E50" t="inlineStr">
        <is>
          <t>KARLSKOGA</t>
        </is>
      </c>
      <c r="G50" t="n">
        <v>2.4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39027-2022</t>
        </is>
      </c>
      <c r="B51" s="1" t="n">
        <v>44817</v>
      </c>
      <c r="C51" s="1" t="n">
        <v>46192</v>
      </c>
      <c r="D51" t="inlineStr">
        <is>
          <t>ÖREBRO LÄN</t>
        </is>
      </c>
      <c r="E51" t="inlineStr">
        <is>
          <t>KARLSKOGA</t>
        </is>
      </c>
      <c r="F51" t="inlineStr">
        <is>
          <t>Sveaskog</t>
        </is>
      </c>
      <c r="G51" t="n">
        <v>1.8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58390-2024</t>
        </is>
      </c>
      <c r="B52" s="1" t="n">
        <v>45633</v>
      </c>
      <c r="C52" s="1" t="n">
        <v>46192</v>
      </c>
      <c r="D52" t="inlineStr">
        <is>
          <t>ÖREBRO LÄN</t>
        </is>
      </c>
      <c r="E52" t="inlineStr">
        <is>
          <t>KARLSKOGA</t>
        </is>
      </c>
      <c r="G52" t="n">
        <v>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4587-2025</t>
        </is>
      </c>
      <c r="B53" s="1" t="n">
        <v>45687</v>
      </c>
      <c r="C53" s="1" t="n">
        <v>46192</v>
      </c>
      <c r="D53" t="inlineStr">
        <is>
          <t>ÖREBRO LÄN</t>
        </is>
      </c>
      <c r="E53" t="inlineStr">
        <is>
          <t>KARLSKOGA</t>
        </is>
      </c>
      <c r="G53" t="n">
        <v>3.3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4164-2022</t>
        </is>
      </c>
      <c r="B54" s="1" t="n">
        <v>44588</v>
      </c>
      <c r="C54" s="1" t="n">
        <v>46192</v>
      </c>
      <c r="D54" t="inlineStr">
        <is>
          <t>ÖREBRO LÄN</t>
        </is>
      </c>
      <c r="E54" t="inlineStr">
        <is>
          <t>KARLSKOGA</t>
        </is>
      </c>
      <c r="F54" t="inlineStr">
        <is>
          <t>Kommuner</t>
        </is>
      </c>
      <c r="G54" t="n">
        <v>1.5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35471-2024</t>
        </is>
      </c>
      <c r="B55" s="1" t="n">
        <v>45531</v>
      </c>
      <c r="C55" s="1" t="n">
        <v>46192</v>
      </c>
      <c r="D55" t="inlineStr">
        <is>
          <t>ÖREBRO LÄN</t>
        </is>
      </c>
      <c r="E55" t="inlineStr">
        <is>
          <t>KARLSKOGA</t>
        </is>
      </c>
      <c r="G55" t="n">
        <v>0.5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46605-2021</t>
        </is>
      </c>
      <c r="B56" s="1" t="n">
        <v>44445</v>
      </c>
      <c r="C56" s="1" t="n">
        <v>46192</v>
      </c>
      <c r="D56" t="inlineStr">
        <is>
          <t>ÖREBRO LÄN</t>
        </is>
      </c>
      <c r="E56" t="inlineStr">
        <is>
          <t>KARLSKOGA</t>
        </is>
      </c>
      <c r="F56" t="inlineStr">
        <is>
          <t>Sveaskog</t>
        </is>
      </c>
      <c r="G56" t="n">
        <v>3.6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3227-2025</t>
        </is>
      </c>
      <c r="B57" s="1" t="n">
        <v>45679</v>
      </c>
      <c r="C57" s="1" t="n">
        <v>46192</v>
      </c>
      <c r="D57" t="inlineStr">
        <is>
          <t>ÖREBRO LÄN</t>
        </is>
      </c>
      <c r="E57" t="inlineStr">
        <is>
          <t>KARLSKOGA</t>
        </is>
      </c>
      <c r="G57" t="n">
        <v>4.5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21612-2022</t>
        </is>
      </c>
      <c r="B58" s="1" t="n">
        <v>44706</v>
      </c>
      <c r="C58" s="1" t="n">
        <v>46192</v>
      </c>
      <c r="D58" t="inlineStr">
        <is>
          <t>ÖREBRO LÄN</t>
        </is>
      </c>
      <c r="E58" t="inlineStr">
        <is>
          <t>KARLSKOGA</t>
        </is>
      </c>
      <c r="G58" t="n">
        <v>0.7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21622-2022</t>
        </is>
      </c>
      <c r="B59" s="1" t="n">
        <v>44706</v>
      </c>
      <c r="C59" s="1" t="n">
        <v>46192</v>
      </c>
      <c r="D59" t="inlineStr">
        <is>
          <t>ÖREBRO LÄN</t>
        </is>
      </c>
      <c r="E59" t="inlineStr">
        <is>
          <t>KARLSKOGA</t>
        </is>
      </c>
      <c r="G59" t="n">
        <v>0.8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9712-2024</t>
        </is>
      </c>
      <c r="B60" s="1" t="n">
        <v>45362</v>
      </c>
      <c r="C60" s="1" t="n">
        <v>46192</v>
      </c>
      <c r="D60" t="inlineStr">
        <is>
          <t>ÖREBRO LÄN</t>
        </is>
      </c>
      <c r="E60" t="inlineStr">
        <is>
          <t>KARLSKOGA</t>
        </is>
      </c>
      <c r="F60" t="inlineStr">
        <is>
          <t>Kyrkan</t>
        </is>
      </c>
      <c r="G60" t="n">
        <v>0.8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28100-2024</t>
        </is>
      </c>
      <c r="B61" s="1" t="n">
        <v>45476</v>
      </c>
      <c r="C61" s="1" t="n">
        <v>46192</v>
      </c>
      <c r="D61" t="inlineStr">
        <is>
          <t>ÖREBRO LÄN</t>
        </is>
      </c>
      <c r="E61" t="inlineStr">
        <is>
          <t>KARLSKOGA</t>
        </is>
      </c>
      <c r="G61" t="n">
        <v>1.8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1106-2024</t>
        </is>
      </c>
      <c r="B62" s="1" t="n">
        <v>45302</v>
      </c>
      <c r="C62" s="1" t="n">
        <v>46192</v>
      </c>
      <c r="D62" t="inlineStr">
        <is>
          <t>ÖREBRO LÄN</t>
        </is>
      </c>
      <c r="E62" t="inlineStr">
        <is>
          <t>KARLSKOGA</t>
        </is>
      </c>
      <c r="G62" t="n">
        <v>1.9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39030-2022</t>
        </is>
      </c>
      <c r="B63" s="1" t="n">
        <v>44817</v>
      </c>
      <c r="C63" s="1" t="n">
        <v>46192</v>
      </c>
      <c r="D63" t="inlineStr">
        <is>
          <t>ÖREBRO LÄN</t>
        </is>
      </c>
      <c r="E63" t="inlineStr">
        <is>
          <t>KARLSKOGA</t>
        </is>
      </c>
      <c r="F63" t="inlineStr">
        <is>
          <t>Sveaskog</t>
        </is>
      </c>
      <c r="G63" t="n">
        <v>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17815-2025</t>
        </is>
      </c>
      <c r="B64" s="1" t="n">
        <v>45758</v>
      </c>
      <c r="C64" s="1" t="n">
        <v>46192</v>
      </c>
      <c r="D64" t="inlineStr">
        <is>
          <t>ÖREBRO LÄN</t>
        </is>
      </c>
      <c r="E64" t="inlineStr">
        <is>
          <t>KARLSKOGA</t>
        </is>
      </c>
      <c r="F64" t="inlineStr">
        <is>
          <t>Sveaskog</t>
        </is>
      </c>
      <c r="G64" t="n">
        <v>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42804-2023</t>
        </is>
      </c>
      <c r="B65" s="1" t="n">
        <v>45182</v>
      </c>
      <c r="C65" s="1" t="n">
        <v>46192</v>
      </c>
      <c r="D65" t="inlineStr">
        <is>
          <t>ÖREBRO LÄN</t>
        </is>
      </c>
      <c r="E65" t="inlineStr">
        <is>
          <t>KARLSKOGA</t>
        </is>
      </c>
      <c r="F65" t="inlineStr">
        <is>
          <t>Sveaskog</t>
        </is>
      </c>
      <c r="G65" t="n">
        <v>0.6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9510-2023</t>
        </is>
      </c>
      <c r="B66" s="1" t="n">
        <v>44981</v>
      </c>
      <c r="C66" s="1" t="n">
        <v>46192</v>
      </c>
      <c r="D66" t="inlineStr">
        <is>
          <t>ÖREBRO LÄN</t>
        </is>
      </c>
      <c r="E66" t="inlineStr">
        <is>
          <t>KARLSKOGA</t>
        </is>
      </c>
      <c r="G66" t="n">
        <v>1.9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1309-2024</t>
        </is>
      </c>
      <c r="B67" s="1" t="n">
        <v>45303</v>
      </c>
      <c r="C67" s="1" t="n">
        <v>46192</v>
      </c>
      <c r="D67" t="inlineStr">
        <is>
          <t>ÖREBRO LÄN</t>
        </is>
      </c>
      <c r="E67" t="inlineStr">
        <is>
          <t>KARLSKOGA</t>
        </is>
      </c>
      <c r="G67" t="n">
        <v>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50958-2025</t>
        </is>
      </c>
      <c r="B68" s="1" t="n">
        <v>45946</v>
      </c>
      <c r="C68" s="1" t="n">
        <v>46192</v>
      </c>
      <c r="D68" t="inlineStr">
        <is>
          <t>ÖREBRO LÄN</t>
        </is>
      </c>
      <c r="E68" t="inlineStr">
        <is>
          <t>KARLSKOGA</t>
        </is>
      </c>
      <c r="G68" t="n">
        <v>0.4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38382-2022</t>
        </is>
      </c>
      <c r="B69" s="1" t="n">
        <v>44812</v>
      </c>
      <c r="C69" s="1" t="n">
        <v>46192</v>
      </c>
      <c r="D69" t="inlineStr">
        <is>
          <t>ÖREBRO LÄN</t>
        </is>
      </c>
      <c r="E69" t="inlineStr">
        <is>
          <t>KARLSKOGA</t>
        </is>
      </c>
      <c r="F69" t="inlineStr">
        <is>
          <t>Kyrkan</t>
        </is>
      </c>
      <c r="G69" t="n">
        <v>2.2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52379-2025</t>
        </is>
      </c>
      <c r="B70" s="1" t="n">
        <v>45953</v>
      </c>
      <c r="C70" s="1" t="n">
        <v>46192</v>
      </c>
      <c r="D70" t="inlineStr">
        <is>
          <t>ÖREBRO LÄN</t>
        </is>
      </c>
      <c r="E70" t="inlineStr">
        <is>
          <t>KARLSKOGA</t>
        </is>
      </c>
      <c r="F70" t="inlineStr">
        <is>
          <t>Sveaskog</t>
        </is>
      </c>
      <c r="G70" t="n">
        <v>2.4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16881-2023</t>
        </is>
      </c>
      <c r="B71" s="1" t="n">
        <v>45033</v>
      </c>
      <c r="C71" s="1" t="n">
        <v>46192</v>
      </c>
      <c r="D71" t="inlineStr">
        <is>
          <t>ÖREBRO LÄN</t>
        </is>
      </c>
      <c r="E71" t="inlineStr">
        <is>
          <t>KARLSKOGA</t>
        </is>
      </c>
      <c r="F71" t="inlineStr">
        <is>
          <t>Kyrkan</t>
        </is>
      </c>
      <c r="G71" t="n">
        <v>2.3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44946-2025</t>
        </is>
      </c>
      <c r="B72" s="1" t="n">
        <v>45918</v>
      </c>
      <c r="C72" s="1" t="n">
        <v>46192</v>
      </c>
      <c r="D72" t="inlineStr">
        <is>
          <t>ÖREBRO LÄN</t>
        </is>
      </c>
      <c r="E72" t="inlineStr">
        <is>
          <t>KARLSKOGA</t>
        </is>
      </c>
      <c r="G72" t="n">
        <v>2.4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44949-2025</t>
        </is>
      </c>
      <c r="B73" s="1" t="n">
        <v>45918</v>
      </c>
      <c r="C73" s="1" t="n">
        <v>46192</v>
      </c>
      <c r="D73" t="inlineStr">
        <is>
          <t>ÖREBRO LÄN</t>
        </is>
      </c>
      <c r="E73" t="inlineStr">
        <is>
          <t>KARLSKOGA</t>
        </is>
      </c>
      <c r="G73" t="n">
        <v>0.8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57422-2021</t>
        </is>
      </c>
      <c r="B74" s="1" t="n">
        <v>44483</v>
      </c>
      <c r="C74" s="1" t="n">
        <v>46192</v>
      </c>
      <c r="D74" t="inlineStr">
        <is>
          <t>ÖREBRO LÄN</t>
        </is>
      </c>
      <c r="E74" t="inlineStr">
        <is>
          <t>KARLSKOGA</t>
        </is>
      </c>
      <c r="G74" t="n">
        <v>1.2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8244-2025</t>
        </is>
      </c>
      <c r="B75" s="1" t="n">
        <v>45708</v>
      </c>
      <c r="C75" s="1" t="n">
        <v>46192</v>
      </c>
      <c r="D75" t="inlineStr">
        <is>
          <t>ÖREBRO LÄN</t>
        </is>
      </c>
      <c r="E75" t="inlineStr">
        <is>
          <t>KARLSKOGA</t>
        </is>
      </c>
      <c r="G75" t="n">
        <v>1.1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55025-2025</t>
        </is>
      </c>
      <c r="B76" s="1" t="n">
        <v>45967</v>
      </c>
      <c r="C76" s="1" t="n">
        <v>46192</v>
      </c>
      <c r="D76" t="inlineStr">
        <is>
          <t>ÖREBRO LÄN</t>
        </is>
      </c>
      <c r="E76" t="inlineStr">
        <is>
          <t>KARLSKOGA</t>
        </is>
      </c>
      <c r="G76" t="n">
        <v>2.4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38190-2024</t>
        </is>
      </c>
      <c r="B77" s="1" t="n">
        <v>45545</v>
      </c>
      <c r="C77" s="1" t="n">
        <v>46192</v>
      </c>
      <c r="D77" t="inlineStr">
        <is>
          <t>ÖREBRO LÄN</t>
        </is>
      </c>
      <c r="E77" t="inlineStr">
        <is>
          <t>KARLSKOGA</t>
        </is>
      </c>
      <c r="G77" t="n">
        <v>2.1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35444-2024</t>
        </is>
      </c>
      <c r="B78" s="1" t="n">
        <v>45531</v>
      </c>
      <c r="C78" s="1" t="n">
        <v>46192</v>
      </c>
      <c r="D78" t="inlineStr">
        <is>
          <t>ÖREBRO LÄN</t>
        </is>
      </c>
      <c r="E78" t="inlineStr">
        <is>
          <t>KARLSKOGA</t>
        </is>
      </c>
      <c r="G78" t="n">
        <v>0.5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23263-2022</t>
        </is>
      </c>
      <c r="B79" s="1" t="n">
        <v>44720</v>
      </c>
      <c r="C79" s="1" t="n">
        <v>46192</v>
      </c>
      <c r="D79" t="inlineStr">
        <is>
          <t>ÖREBRO LÄN</t>
        </is>
      </c>
      <c r="E79" t="inlineStr">
        <is>
          <t>KARLSKOGA</t>
        </is>
      </c>
      <c r="G79" t="n">
        <v>2.2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20463-2025</t>
        </is>
      </c>
      <c r="B80" s="1" t="n">
        <v>45775</v>
      </c>
      <c r="C80" s="1" t="n">
        <v>46192</v>
      </c>
      <c r="D80" t="inlineStr">
        <is>
          <t>ÖREBRO LÄN</t>
        </is>
      </c>
      <c r="E80" t="inlineStr">
        <is>
          <t>KARLSKOGA</t>
        </is>
      </c>
      <c r="F80" t="inlineStr">
        <is>
          <t>Sveaskog</t>
        </is>
      </c>
      <c r="G80" t="n">
        <v>0.9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47201-2023</t>
        </is>
      </c>
      <c r="B81" s="1" t="n">
        <v>45196</v>
      </c>
      <c r="C81" s="1" t="n">
        <v>46192</v>
      </c>
      <c r="D81" t="inlineStr">
        <is>
          <t>ÖREBRO LÄN</t>
        </is>
      </c>
      <c r="E81" t="inlineStr">
        <is>
          <t>KARLSKOGA</t>
        </is>
      </c>
      <c r="G81" t="n">
        <v>2.7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61396-2023</t>
        </is>
      </c>
      <c r="B82" s="1" t="n">
        <v>45264</v>
      </c>
      <c r="C82" s="1" t="n">
        <v>46192</v>
      </c>
      <c r="D82" t="inlineStr">
        <is>
          <t>ÖREBRO LÄN</t>
        </is>
      </c>
      <c r="E82" t="inlineStr">
        <is>
          <t>KARLSKOGA</t>
        </is>
      </c>
      <c r="G82" t="n">
        <v>1.8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35470-2024</t>
        </is>
      </c>
      <c r="B83" s="1" t="n">
        <v>45531</v>
      </c>
      <c r="C83" s="1" t="n">
        <v>46192</v>
      </c>
      <c r="D83" t="inlineStr">
        <is>
          <t>ÖREBRO LÄN</t>
        </is>
      </c>
      <c r="E83" t="inlineStr">
        <is>
          <t>KARLSKOGA</t>
        </is>
      </c>
      <c r="G83" t="n">
        <v>0.5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8259-2025</t>
        </is>
      </c>
      <c r="B84" s="1" t="n">
        <v>45708</v>
      </c>
      <c r="C84" s="1" t="n">
        <v>46192</v>
      </c>
      <c r="D84" t="inlineStr">
        <is>
          <t>ÖREBRO LÄN</t>
        </is>
      </c>
      <c r="E84" t="inlineStr">
        <is>
          <t>KARLSKOGA</t>
        </is>
      </c>
      <c r="G84" t="n">
        <v>0.7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24116-2024</t>
        </is>
      </c>
      <c r="B85" s="1" t="n">
        <v>45456</v>
      </c>
      <c r="C85" s="1" t="n">
        <v>46192</v>
      </c>
      <c r="D85" t="inlineStr">
        <is>
          <t>ÖREBRO LÄN</t>
        </is>
      </c>
      <c r="E85" t="inlineStr">
        <is>
          <t>KARLSKOGA</t>
        </is>
      </c>
      <c r="G85" t="n">
        <v>1.8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35445-2024</t>
        </is>
      </c>
      <c r="B86" s="1" t="n">
        <v>45531</v>
      </c>
      <c r="C86" s="1" t="n">
        <v>46192</v>
      </c>
      <c r="D86" t="inlineStr">
        <is>
          <t>ÖREBRO LÄN</t>
        </is>
      </c>
      <c r="E86" t="inlineStr">
        <is>
          <t>KARLSKOGA</t>
        </is>
      </c>
      <c r="G86" t="n">
        <v>0.5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47094-2023</t>
        </is>
      </c>
      <c r="B87" s="1" t="n">
        <v>45196</v>
      </c>
      <c r="C87" s="1" t="n">
        <v>46192</v>
      </c>
      <c r="D87" t="inlineStr">
        <is>
          <t>ÖREBRO LÄN</t>
        </is>
      </c>
      <c r="E87" t="inlineStr">
        <is>
          <t>KARLSKOGA</t>
        </is>
      </c>
      <c r="G87" t="n">
        <v>1.9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38196-2024</t>
        </is>
      </c>
      <c r="B88" s="1" t="n">
        <v>45545</v>
      </c>
      <c r="C88" s="1" t="n">
        <v>46192</v>
      </c>
      <c r="D88" t="inlineStr">
        <is>
          <t>ÖREBRO LÄN</t>
        </is>
      </c>
      <c r="E88" t="inlineStr">
        <is>
          <t>KARLSKOGA</t>
        </is>
      </c>
      <c r="G88" t="n">
        <v>0.7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35930-2023</t>
        </is>
      </c>
      <c r="B89" s="1" t="n">
        <v>45148</v>
      </c>
      <c r="C89" s="1" t="n">
        <v>46192</v>
      </c>
      <c r="D89" t="inlineStr">
        <is>
          <t>ÖREBRO LÄN</t>
        </is>
      </c>
      <c r="E89" t="inlineStr">
        <is>
          <t>KARLSKOGA</t>
        </is>
      </c>
      <c r="F89" t="inlineStr">
        <is>
          <t>Sveaskog</t>
        </is>
      </c>
      <c r="G89" t="n">
        <v>5.2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59522-2025</t>
        </is>
      </c>
      <c r="B90" s="1" t="n">
        <v>45989</v>
      </c>
      <c r="C90" s="1" t="n">
        <v>46192</v>
      </c>
      <c r="D90" t="inlineStr">
        <is>
          <t>ÖREBRO LÄN</t>
        </is>
      </c>
      <c r="E90" t="inlineStr">
        <is>
          <t>KARLSKOGA</t>
        </is>
      </c>
      <c r="F90" t="inlineStr">
        <is>
          <t>Sveaskog</t>
        </is>
      </c>
      <c r="G90" t="n">
        <v>2.6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50611-2024</t>
        </is>
      </c>
      <c r="B91" s="1" t="n">
        <v>45601</v>
      </c>
      <c r="C91" s="1" t="n">
        <v>46192</v>
      </c>
      <c r="D91" t="inlineStr">
        <is>
          <t>ÖREBRO LÄN</t>
        </is>
      </c>
      <c r="E91" t="inlineStr">
        <is>
          <t>KARLSKOGA</t>
        </is>
      </c>
      <c r="G91" t="n">
        <v>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63863-2023</t>
        </is>
      </c>
      <c r="B92" s="1" t="n">
        <v>45278</v>
      </c>
      <c r="C92" s="1" t="n">
        <v>46192</v>
      </c>
      <c r="D92" t="inlineStr">
        <is>
          <t>ÖREBRO LÄN</t>
        </is>
      </c>
      <c r="E92" t="inlineStr">
        <is>
          <t>KARLSKOGA</t>
        </is>
      </c>
      <c r="G92" t="n">
        <v>1.1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60506-2025</t>
        </is>
      </c>
      <c r="B93" s="1" t="n">
        <v>45995</v>
      </c>
      <c r="C93" s="1" t="n">
        <v>46192</v>
      </c>
      <c r="D93" t="inlineStr">
        <is>
          <t>ÖREBRO LÄN</t>
        </is>
      </c>
      <c r="E93" t="inlineStr">
        <is>
          <t>KARLSKOGA</t>
        </is>
      </c>
      <c r="G93" t="n">
        <v>0.8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60508-2025</t>
        </is>
      </c>
      <c r="B94" s="1" t="n">
        <v>45995</v>
      </c>
      <c r="C94" s="1" t="n">
        <v>46192</v>
      </c>
      <c r="D94" t="inlineStr">
        <is>
          <t>ÖREBRO LÄN</t>
        </is>
      </c>
      <c r="E94" t="inlineStr">
        <is>
          <t>KARLSKOGA</t>
        </is>
      </c>
      <c r="G94" t="n">
        <v>2.1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60503-2025</t>
        </is>
      </c>
      <c r="B95" s="1" t="n">
        <v>45995</v>
      </c>
      <c r="C95" s="1" t="n">
        <v>46192</v>
      </c>
      <c r="D95" t="inlineStr">
        <is>
          <t>ÖREBRO LÄN</t>
        </is>
      </c>
      <c r="E95" t="inlineStr">
        <is>
          <t>KARLSKOGA</t>
        </is>
      </c>
      <c r="G95" t="n">
        <v>2.2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20289-2024</t>
        </is>
      </c>
      <c r="B96" s="1" t="n">
        <v>45435</v>
      </c>
      <c r="C96" s="1" t="n">
        <v>46192</v>
      </c>
      <c r="D96" t="inlineStr">
        <is>
          <t>ÖREBRO LÄN</t>
        </is>
      </c>
      <c r="E96" t="inlineStr">
        <is>
          <t>KARLSKOGA</t>
        </is>
      </c>
      <c r="F96" t="inlineStr">
        <is>
          <t>Sveaskog</t>
        </is>
      </c>
      <c r="G96" t="n">
        <v>0.7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52797-2021</t>
        </is>
      </c>
      <c r="B97" s="1" t="n">
        <v>44467</v>
      </c>
      <c r="C97" s="1" t="n">
        <v>46192</v>
      </c>
      <c r="D97" t="inlineStr">
        <is>
          <t>ÖREBRO LÄN</t>
        </is>
      </c>
      <c r="E97" t="inlineStr">
        <is>
          <t>KARLSKOGA</t>
        </is>
      </c>
      <c r="G97" t="n">
        <v>1.4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20086-2024</t>
        </is>
      </c>
      <c r="B98" s="1" t="n">
        <v>45434</v>
      </c>
      <c r="C98" s="1" t="n">
        <v>46192</v>
      </c>
      <c r="D98" t="inlineStr">
        <is>
          <t>ÖREBRO LÄN</t>
        </is>
      </c>
      <c r="E98" t="inlineStr">
        <is>
          <t>KARLSKOGA</t>
        </is>
      </c>
      <c r="G98" t="n">
        <v>1.5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13496-2025</t>
        </is>
      </c>
      <c r="B99" s="1" t="n">
        <v>45736</v>
      </c>
      <c r="C99" s="1" t="n">
        <v>46192</v>
      </c>
      <c r="D99" t="inlineStr">
        <is>
          <t>ÖREBRO LÄN</t>
        </is>
      </c>
      <c r="E99" t="inlineStr">
        <is>
          <t>KARLSKOGA</t>
        </is>
      </c>
      <c r="G99" t="n">
        <v>8.800000000000001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61788-2025</t>
        </is>
      </c>
      <c r="B100" s="1" t="n">
        <v>46002</v>
      </c>
      <c r="C100" s="1" t="n">
        <v>46192</v>
      </c>
      <c r="D100" t="inlineStr">
        <is>
          <t>ÖREBRO LÄN</t>
        </is>
      </c>
      <c r="E100" t="inlineStr">
        <is>
          <t>KARLSKOGA</t>
        </is>
      </c>
      <c r="F100" t="inlineStr">
        <is>
          <t>Kyrkan</t>
        </is>
      </c>
      <c r="G100" t="n">
        <v>0.9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56887-2022</t>
        </is>
      </c>
      <c r="B101" s="1" t="n">
        <v>44894</v>
      </c>
      <c r="C101" s="1" t="n">
        <v>46192</v>
      </c>
      <c r="D101" t="inlineStr">
        <is>
          <t>ÖREBRO LÄN</t>
        </is>
      </c>
      <c r="E101" t="inlineStr">
        <is>
          <t>KARLSKOGA</t>
        </is>
      </c>
      <c r="G101" t="n">
        <v>1.8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64066-2025</t>
        </is>
      </c>
      <c r="B102" s="1" t="n">
        <v>46013</v>
      </c>
      <c r="C102" s="1" t="n">
        <v>46192</v>
      </c>
      <c r="D102" t="inlineStr">
        <is>
          <t>ÖREBRO LÄN</t>
        </is>
      </c>
      <c r="E102" t="inlineStr">
        <is>
          <t>KARLSKOGA</t>
        </is>
      </c>
      <c r="G102" t="n">
        <v>1.9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59938-2023</t>
        </is>
      </c>
      <c r="B103" s="1" t="n">
        <v>45257</v>
      </c>
      <c r="C103" s="1" t="n">
        <v>46192</v>
      </c>
      <c r="D103" t="inlineStr">
        <is>
          <t>ÖREBRO LÄN</t>
        </is>
      </c>
      <c r="E103" t="inlineStr">
        <is>
          <t>KARLSKOGA</t>
        </is>
      </c>
      <c r="G103" t="n">
        <v>2.9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63628-2025</t>
        </is>
      </c>
      <c r="B104" s="1" t="n">
        <v>46014</v>
      </c>
      <c r="C104" s="1" t="n">
        <v>46192</v>
      </c>
      <c r="D104" t="inlineStr">
        <is>
          <t>ÖREBRO LÄN</t>
        </is>
      </c>
      <c r="E104" t="inlineStr">
        <is>
          <t>KARLSKOGA</t>
        </is>
      </c>
      <c r="G104" t="n">
        <v>3.8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52828-2024</t>
        </is>
      </c>
      <c r="B105" s="1" t="n">
        <v>45610</v>
      </c>
      <c r="C105" s="1" t="n">
        <v>46192</v>
      </c>
      <c r="D105" t="inlineStr">
        <is>
          <t>ÖREBRO LÄN</t>
        </is>
      </c>
      <c r="E105" t="inlineStr">
        <is>
          <t>KARLSKOGA</t>
        </is>
      </c>
      <c r="G105" t="n">
        <v>8.300000000000001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15256-2025</t>
        </is>
      </c>
      <c r="B106" s="1" t="n">
        <v>45744</v>
      </c>
      <c r="C106" s="1" t="n">
        <v>46192</v>
      </c>
      <c r="D106" t="inlineStr">
        <is>
          <t>ÖREBRO LÄN</t>
        </is>
      </c>
      <c r="E106" t="inlineStr">
        <is>
          <t>KARLSKOGA</t>
        </is>
      </c>
      <c r="F106" t="inlineStr">
        <is>
          <t>Sveaskog</t>
        </is>
      </c>
      <c r="G106" t="n">
        <v>5.5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33011-2023</t>
        </is>
      </c>
      <c r="B107" s="1" t="n">
        <v>45125</v>
      </c>
      <c r="C107" s="1" t="n">
        <v>46192</v>
      </c>
      <c r="D107" t="inlineStr">
        <is>
          <t>ÖREBRO LÄN</t>
        </is>
      </c>
      <c r="E107" t="inlineStr">
        <is>
          <t>KARLSKOGA</t>
        </is>
      </c>
      <c r="G107" t="n">
        <v>0.8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1788-2026</t>
        </is>
      </c>
      <c r="B108" s="1" t="n">
        <v>46034</v>
      </c>
      <c r="C108" s="1" t="n">
        <v>46192</v>
      </c>
      <c r="D108" t="inlineStr">
        <is>
          <t>ÖREBRO LÄN</t>
        </is>
      </c>
      <c r="E108" t="inlineStr">
        <is>
          <t>KARLSKOGA</t>
        </is>
      </c>
      <c r="G108" t="n">
        <v>3.5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24115-2024</t>
        </is>
      </c>
      <c r="B109" s="1" t="n">
        <v>45456</v>
      </c>
      <c r="C109" s="1" t="n">
        <v>46192</v>
      </c>
      <c r="D109" t="inlineStr">
        <is>
          <t>ÖREBRO LÄN</t>
        </is>
      </c>
      <c r="E109" t="inlineStr">
        <is>
          <t>KARLSKOGA</t>
        </is>
      </c>
      <c r="G109" t="n">
        <v>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41777-2021</t>
        </is>
      </c>
      <c r="B110" s="1" t="n">
        <v>44425</v>
      </c>
      <c r="C110" s="1" t="n">
        <v>46192</v>
      </c>
      <c r="D110" t="inlineStr">
        <is>
          <t>ÖREBRO LÄN</t>
        </is>
      </c>
      <c r="E110" t="inlineStr">
        <is>
          <t>KARLSKOGA</t>
        </is>
      </c>
      <c r="F110" t="inlineStr">
        <is>
          <t>Sveaskog</t>
        </is>
      </c>
      <c r="G110" t="n">
        <v>1.4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41779-2021</t>
        </is>
      </c>
      <c r="B111" s="1" t="n">
        <v>44425</v>
      </c>
      <c r="C111" s="1" t="n">
        <v>46192</v>
      </c>
      <c r="D111" t="inlineStr">
        <is>
          <t>ÖREBRO LÄN</t>
        </is>
      </c>
      <c r="E111" t="inlineStr">
        <is>
          <t>KARLSKOGA</t>
        </is>
      </c>
      <c r="F111" t="inlineStr">
        <is>
          <t>Sveaskog</t>
        </is>
      </c>
      <c r="G111" t="n">
        <v>1.7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51344-2023</t>
        </is>
      </c>
      <c r="B112" s="1" t="n">
        <v>45219</v>
      </c>
      <c r="C112" s="1" t="n">
        <v>46192</v>
      </c>
      <c r="D112" t="inlineStr">
        <is>
          <t>ÖREBRO LÄN</t>
        </is>
      </c>
      <c r="E112" t="inlineStr">
        <is>
          <t>KARLSKOGA</t>
        </is>
      </c>
      <c r="F112" t="inlineStr">
        <is>
          <t>Övriga Aktiebolag</t>
        </is>
      </c>
      <c r="G112" t="n">
        <v>4.5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45664-2025</t>
        </is>
      </c>
      <c r="B113" s="1" t="n">
        <v>45923</v>
      </c>
      <c r="C113" s="1" t="n">
        <v>46192</v>
      </c>
      <c r="D113" t="inlineStr">
        <is>
          <t>ÖREBRO LÄN</t>
        </is>
      </c>
      <c r="E113" t="inlineStr">
        <is>
          <t>KARLSKOGA</t>
        </is>
      </c>
      <c r="F113" t="inlineStr">
        <is>
          <t>Sveaskog</t>
        </is>
      </c>
      <c r="G113" t="n">
        <v>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2911-2026</t>
        </is>
      </c>
      <c r="B114" s="1" t="n">
        <v>46038</v>
      </c>
      <c r="C114" s="1" t="n">
        <v>46192</v>
      </c>
      <c r="D114" t="inlineStr">
        <is>
          <t>ÖREBRO LÄN</t>
        </is>
      </c>
      <c r="E114" t="inlineStr">
        <is>
          <t>KARLSKOGA</t>
        </is>
      </c>
      <c r="G114" t="n">
        <v>1.1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10515-2023</t>
        </is>
      </c>
      <c r="B115" s="1" t="n">
        <v>44987</v>
      </c>
      <c r="C115" s="1" t="n">
        <v>46192</v>
      </c>
      <c r="D115" t="inlineStr">
        <is>
          <t>ÖREBRO LÄN</t>
        </is>
      </c>
      <c r="E115" t="inlineStr">
        <is>
          <t>KARLSKOGA</t>
        </is>
      </c>
      <c r="G115" t="n">
        <v>1.9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18768-2025</t>
        </is>
      </c>
      <c r="B116" s="1" t="n">
        <v>45764</v>
      </c>
      <c r="C116" s="1" t="n">
        <v>46192</v>
      </c>
      <c r="D116" t="inlineStr">
        <is>
          <t>ÖREBRO LÄN</t>
        </is>
      </c>
      <c r="E116" t="inlineStr">
        <is>
          <t>KARLSKOGA</t>
        </is>
      </c>
      <c r="F116" t="inlineStr">
        <is>
          <t>Sveaskog</t>
        </is>
      </c>
      <c r="G116" t="n">
        <v>0.7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4801-2024</t>
        </is>
      </c>
      <c r="B117" s="1" t="n">
        <v>45328</v>
      </c>
      <c r="C117" s="1" t="n">
        <v>46192</v>
      </c>
      <c r="D117" t="inlineStr">
        <is>
          <t>ÖREBRO LÄN</t>
        </is>
      </c>
      <c r="E117" t="inlineStr">
        <is>
          <t>KARLSKOGA</t>
        </is>
      </c>
      <c r="G117" t="n">
        <v>0.9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4802-2024</t>
        </is>
      </c>
      <c r="B118" s="1" t="n">
        <v>45328</v>
      </c>
      <c r="C118" s="1" t="n">
        <v>46192</v>
      </c>
      <c r="D118" t="inlineStr">
        <is>
          <t>ÖREBRO LÄN</t>
        </is>
      </c>
      <c r="E118" t="inlineStr">
        <is>
          <t>KARLSKOGA</t>
        </is>
      </c>
      <c r="G118" t="n">
        <v>0.9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47222-2024</t>
        </is>
      </c>
      <c r="B119" s="1" t="n">
        <v>45586</v>
      </c>
      <c r="C119" s="1" t="n">
        <v>46192</v>
      </c>
      <c r="D119" t="inlineStr">
        <is>
          <t>ÖREBRO LÄN</t>
        </is>
      </c>
      <c r="E119" t="inlineStr">
        <is>
          <t>KARLSKOGA</t>
        </is>
      </c>
      <c r="F119" t="inlineStr">
        <is>
          <t>Sveaskog</t>
        </is>
      </c>
      <c r="G119" t="n">
        <v>5.3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39337-2022</t>
        </is>
      </c>
      <c r="B120" s="1" t="n">
        <v>44817</v>
      </c>
      <c r="C120" s="1" t="n">
        <v>46192</v>
      </c>
      <c r="D120" t="inlineStr">
        <is>
          <t>ÖREBRO LÄN</t>
        </is>
      </c>
      <c r="E120" t="inlineStr">
        <is>
          <t>KARLSKOGA</t>
        </is>
      </c>
      <c r="G120" t="n">
        <v>1.5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8990-2023</t>
        </is>
      </c>
      <c r="B121" s="1" t="n">
        <v>44979</v>
      </c>
      <c r="C121" s="1" t="n">
        <v>46192</v>
      </c>
      <c r="D121" t="inlineStr">
        <is>
          <t>ÖREBRO LÄN</t>
        </is>
      </c>
      <c r="E121" t="inlineStr">
        <is>
          <t>KARLSKOGA</t>
        </is>
      </c>
      <c r="G121" t="n">
        <v>2.1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53620-2024</t>
        </is>
      </c>
      <c r="B122" s="1" t="n">
        <v>45614</v>
      </c>
      <c r="C122" s="1" t="n">
        <v>46192</v>
      </c>
      <c r="D122" t="inlineStr">
        <is>
          <t>ÖREBRO LÄN</t>
        </is>
      </c>
      <c r="E122" t="inlineStr">
        <is>
          <t>KARLSKOGA</t>
        </is>
      </c>
      <c r="G122" t="n">
        <v>0.7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42802-2023</t>
        </is>
      </c>
      <c r="B123" s="1" t="n">
        <v>45182</v>
      </c>
      <c r="C123" s="1" t="n">
        <v>46192</v>
      </c>
      <c r="D123" t="inlineStr">
        <is>
          <t>ÖREBRO LÄN</t>
        </is>
      </c>
      <c r="E123" t="inlineStr">
        <is>
          <t>KARLSKOGA</t>
        </is>
      </c>
      <c r="F123" t="inlineStr">
        <is>
          <t>Sveaskog</t>
        </is>
      </c>
      <c r="G123" t="n">
        <v>0.6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28471-2023</t>
        </is>
      </c>
      <c r="B124" s="1" t="n">
        <v>45103</v>
      </c>
      <c r="C124" s="1" t="n">
        <v>46192</v>
      </c>
      <c r="D124" t="inlineStr">
        <is>
          <t>ÖREBRO LÄN</t>
        </is>
      </c>
      <c r="E124" t="inlineStr">
        <is>
          <t>KARLSKOGA</t>
        </is>
      </c>
      <c r="G124" t="n">
        <v>1.7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22867-2022</t>
        </is>
      </c>
      <c r="B125" s="1" t="n">
        <v>44715</v>
      </c>
      <c r="C125" s="1" t="n">
        <v>46192</v>
      </c>
      <c r="D125" t="inlineStr">
        <is>
          <t>ÖREBRO LÄN</t>
        </is>
      </c>
      <c r="E125" t="inlineStr">
        <is>
          <t>KARLSKOGA</t>
        </is>
      </c>
      <c r="G125" t="n">
        <v>0.8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13501-2025</t>
        </is>
      </c>
      <c r="B126" s="1" t="n">
        <v>45736</v>
      </c>
      <c r="C126" s="1" t="n">
        <v>46192</v>
      </c>
      <c r="D126" t="inlineStr">
        <is>
          <t>ÖREBRO LÄN</t>
        </is>
      </c>
      <c r="E126" t="inlineStr">
        <is>
          <t>KARLSKOGA</t>
        </is>
      </c>
      <c r="G126" t="n">
        <v>3.2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64060-2023</t>
        </is>
      </c>
      <c r="B127" s="1" t="n">
        <v>45279</v>
      </c>
      <c r="C127" s="1" t="n">
        <v>46192</v>
      </c>
      <c r="D127" t="inlineStr">
        <is>
          <t>ÖREBRO LÄN</t>
        </is>
      </c>
      <c r="E127" t="inlineStr">
        <is>
          <t>KARLSKOGA</t>
        </is>
      </c>
      <c r="G127" t="n">
        <v>1.9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48707-2024</t>
        </is>
      </c>
      <c r="B128" s="1" t="n">
        <v>45593</v>
      </c>
      <c r="C128" s="1" t="n">
        <v>46192</v>
      </c>
      <c r="D128" t="inlineStr">
        <is>
          <t>ÖREBRO LÄN</t>
        </is>
      </c>
      <c r="E128" t="inlineStr">
        <is>
          <t>KARLSKOGA</t>
        </is>
      </c>
      <c r="G128" t="n">
        <v>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10404-2022</t>
        </is>
      </c>
      <c r="B129" s="1" t="n">
        <v>44623</v>
      </c>
      <c r="C129" s="1" t="n">
        <v>46192</v>
      </c>
      <c r="D129" t="inlineStr">
        <is>
          <t>ÖREBRO LÄN</t>
        </is>
      </c>
      <c r="E129" t="inlineStr">
        <is>
          <t>KARLSKOGA</t>
        </is>
      </c>
      <c r="G129" t="n">
        <v>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55832-2023</t>
        </is>
      </c>
      <c r="B130" s="1" t="n">
        <v>45239</v>
      </c>
      <c r="C130" s="1" t="n">
        <v>46192</v>
      </c>
      <c r="D130" t="inlineStr">
        <is>
          <t>ÖREBRO LÄN</t>
        </is>
      </c>
      <c r="E130" t="inlineStr">
        <is>
          <t>KARLSKOGA</t>
        </is>
      </c>
      <c r="G130" t="n">
        <v>0.5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10506-2025</t>
        </is>
      </c>
      <c r="B131" s="1" t="n">
        <v>45721</v>
      </c>
      <c r="C131" s="1" t="n">
        <v>46192</v>
      </c>
      <c r="D131" t="inlineStr">
        <is>
          <t>ÖREBRO LÄN</t>
        </is>
      </c>
      <c r="E131" t="inlineStr">
        <is>
          <t>KARLSKOGA</t>
        </is>
      </c>
      <c r="G131" t="n">
        <v>3.1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9917-2026</t>
        </is>
      </c>
      <c r="B132" s="1" t="n">
        <v>46073</v>
      </c>
      <c r="C132" s="1" t="n">
        <v>46192</v>
      </c>
      <c r="D132" t="inlineStr">
        <is>
          <t>ÖREBRO LÄN</t>
        </is>
      </c>
      <c r="E132" t="inlineStr">
        <is>
          <t>KARLSKOGA</t>
        </is>
      </c>
      <c r="G132" t="n">
        <v>3.1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58388-2024</t>
        </is>
      </c>
      <c r="B133" s="1" t="n">
        <v>45633</v>
      </c>
      <c r="C133" s="1" t="n">
        <v>46192</v>
      </c>
      <c r="D133" t="inlineStr">
        <is>
          <t>ÖREBRO LÄN</t>
        </is>
      </c>
      <c r="E133" t="inlineStr">
        <is>
          <t>KARLSKOGA</t>
        </is>
      </c>
      <c r="G133" t="n">
        <v>5.8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21247-2025</t>
        </is>
      </c>
      <c r="B134" s="1" t="n">
        <v>45779</v>
      </c>
      <c r="C134" s="1" t="n">
        <v>46192</v>
      </c>
      <c r="D134" t="inlineStr">
        <is>
          <t>ÖREBRO LÄN</t>
        </is>
      </c>
      <c r="E134" t="inlineStr">
        <is>
          <t>KARLSKOGA</t>
        </is>
      </c>
      <c r="F134" t="inlineStr">
        <is>
          <t>Övriga Aktiebolag</t>
        </is>
      </c>
      <c r="G134" t="n">
        <v>2.9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18978-2025</t>
        </is>
      </c>
      <c r="B135" s="1" t="n">
        <v>45764</v>
      </c>
      <c r="C135" s="1" t="n">
        <v>46192</v>
      </c>
      <c r="D135" t="inlineStr">
        <is>
          <t>ÖREBRO LÄN</t>
        </is>
      </c>
      <c r="E135" t="inlineStr">
        <is>
          <t>KARLSKOGA</t>
        </is>
      </c>
      <c r="G135" t="n">
        <v>0.8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22234-2025</t>
        </is>
      </c>
      <c r="B136" s="1" t="n">
        <v>45785</v>
      </c>
      <c r="C136" s="1" t="n">
        <v>46192</v>
      </c>
      <c r="D136" t="inlineStr">
        <is>
          <t>ÖREBRO LÄN</t>
        </is>
      </c>
      <c r="E136" t="inlineStr">
        <is>
          <t>KARLSKOGA</t>
        </is>
      </c>
      <c r="G136" t="n">
        <v>0.9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38742-2023</t>
        </is>
      </c>
      <c r="B137" s="1" t="n">
        <v>45161</v>
      </c>
      <c r="C137" s="1" t="n">
        <v>46192</v>
      </c>
      <c r="D137" t="inlineStr">
        <is>
          <t>ÖREBRO LÄN</t>
        </is>
      </c>
      <c r="E137" t="inlineStr">
        <is>
          <t>KARLSKOGA</t>
        </is>
      </c>
      <c r="F137" t="inlineStr">
        <is>
          <t>Övriga Aktiebolag</t>
        </is>
      </c>
      <c r="G137" t="n">
        <v>4.2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22244-2025</t>
        </is>
      </c>
      <c r="B138" s="1" t="n">
        <v>45785</v>
      </c>
      <c r="C138" s="1" t="n">
        <v>46192</v>
      </c>
      <c r="D138" t="inlineStr">
        <is>
          <t>ÖREBRO LÄN</t>
        </is>
      </c>
      <c r="E138" t="inlineStr">
        <is>
          <t>KARLSKOGA</t>
        </is>
      </c>
      <c r="G138" t="n">
        <v>0.9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31921-2022</t>
        </is>
      </c>
      <c r="B139" s="1" t="n">
        <v>44777</v>
      </c>
      <c r="C139" s="1" t="n">
        <v>46192</v>
      </c>
      <c r="D139" t="inlineStr">
        <is>
          <t>ÖREBRO LÄN</t>
        </is>
      </c>
      <c r="E139" t="inlineStr">
        <is>
          <t>KARLSKOGA</t>
        </is>
      </c>
      <c r="G139" t="n">
        <v>2.4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43075-2023</t>
        </is>
      </c>
      <c r="B140" s="1" t="n">
        <v>45182</v>
      </c>
      <c r="C140" s="1" t="n">
        <v>46192</v>
      </c>
      <c r="D140" t="inlineStr">
        <is>
          <t>ÖREBRO LÄN</t>
        </is>
      </c>
      <c r="E140" t="inlineStr">
        <is>
          <t>KARLSKOGA</t>
        </is>
      </c>
      <c r="G140" t="n">
        <v>3.1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3735-2024</t>
        </is>
      </c>
      <c r="B141" s="1" t="n">
        <v>45321</v>
      </c>
      <c r="C141" s="1" t="n">
        <v>46192</v>
      </c>
      <c r="D141" t="inlineStr">
        <is>
          <t>ÖREBRO LÄN</t>
        </is>
      </c>
      <c r="E141" t="inlineStr">
        <is>
          <t>KARLSKOGA</t>
        </is>
      </c>
      <c r="F141" t="inlineStr">
        <is>
          <t>Övriga Aktiebolag</t>
        </is>
      </c>
      <c r="G141" t="n">
        <v>1.6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47196-2023</t>
        </is>
      </c>
      <c r="B142" s="1" t="n">
        <v>45196</v>
      </c>
      <c r="C142" s="1" t="n">
        <v>46192</v>
      </c>
      <c r="D142" t="inlineStr">
        <is>
          <t>ÖREBRO LÄN</t>
        </is>
      </c>
      <c r="E142" t="inlineStr">
        <is>
          <t>KARLSKOGA</t>
        </is>
      </c>
      <c r="G142" t="n">
        <v>5.9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13454-2022</t>
        </is>
      </c>
      <c r="B143" s="1" t="n">
        <v>44645</v>
      </c>
      <c r="C143" s="1" t="n">
        <v>46192</v>
      </c>
      <c r="D143" t="inlineStr">
        <is>
          <t>ÖREBRO LÄN</t>
        </is>
      </c>
      <c r="E143" t="inlineStr">
        <is>
          <t>KARLSKOGA</t>
        </is>
      </c>
      <c r="G143" t="n">
        <v>1.7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12693-2026</t>
        </is>
      </c>
      <c r="B144" s="1" t="n">
        <v>46091</v>
      </c>
      <c r="C144" s="1" t="n">
        <v>46192</v>
      </c>
      <c r="D144" t="inlineStr">
        <is>
          <t>ÖREBRO LÄN</t>
        </is>
      </c>
      <c r="E144" t="inlineStr">
        <is>
          <t>KARLSKOGA</t>
        </is>
      </c>
      <c r="F144" t="inlineStr">
        <is>
          <t>Övriga Aktiebolag</t>
        </is>
      </c>
      <c r="G144" t="n">
        <v>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13473-2026</t>
        </is>
      </c>
      <c r="B145" s="1" t="n">
        <v>46094</v>
      </c>
      <c r="C145" s="1" t="n">
        <v>46192</v>
      </c>
      <c r="D145" t="inlineStr">
        <is>
          <t>ÖREBRO LÄN</t>
        </is>
      </c>
      <c r="E145" t="inlineStr">
        <is>
          <t>KARLSKOGA</t>
        </is>
      </c>
      <c r="G145" t="n">
        <v>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23308-2025</t>
        </is>
      </c>
      <c r="B146" s="1" t="n">
        <v>45791</v>
      </c>
      <c r="C146" s="1" t="n">
        <v>46192</v>
      </c>
      <c r="D146" t="inlineStr">
        <is>
          <t>ÖREBRO LÄN</t>
        </is>
      </c>
      <c r="E146" t="inlineStr">
        <is>
          <t>KARLSKOGA</t>
        </is>
      </c>
      <c r="G146" t="n">
        <v>1.5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53618-2024</t>
        </is>
      </c>
      <c r="B147" s="1" t="n">
        <v>45614</v>
      </c>
      <c r="C147" s="1" t="n">
        <v>46192</v>
      </c>
      <c r="D147" t="inlineStr">
        <is>
          <t>ÖREBRO LÄN</t>
        </is>
      </c>
      <c r="E147" t="inlineStr">
        <is>
          <t>KARLSKOGA</t>
        </is>
      </c>
      <c r="G147" t="n">
        <v>10.1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30961-2022</t>
        </is>
      </c>
      <c r="B148" s="1" t="n">
        <v>44768</v>
      </c>
      <c r="C148" s="1" t="n">
        <v>46192</v>
      </c>
      <c r="D148" t="inlineStr">
        <is>
          <t>ÖREBRO LÄN</t>
        </is>
      </c>
      <c r="E148" t="inlineStr">
        <is>
          <t>KARLSKOGA</t>
        </is>
      </c>
      <c r="F148" t="inlineStr">
        <is>
          <t>Kommuner</t>
        </is>
      </c>
      <c r="G148" t="n">
        <v>3.3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12897-2026</t>
        </is>
      </c>
      <c r="B149" s="1" t="n">
        <v>46092</v>
      </c>
      <c r="C149" s="1" t="n">
        <v>46192</v>
      </c>
      <c r="D149" t="inlineStr">
        <is>
          <t>ÖREBRO LÄN</t>
        </is>
      </c>
      <c r="E149" t="inlineStr">
        <is>
          <t>KARLSKOGA</t>
        </is>
      </c>
      <c r="G149" t="n">
        <v>1.3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14580-2026</t>
        </is>
      </c>
      <c r="B150" s="1" t="n">
        <v>46101</v>
      </c>
      <c r="C150" s="1" t="n">
        <v>46192</v>
      </c>
      <c r="D150" t="inlineStr">
        <is>
          <t>ÖREBRO LÄN</t>
        </is>
      </c>
      <c r="E150" t="inlineStr">
        <is>
          <t>KARLSKOGA</t>
        </is>
      </c>
      <c r="F150" t="inlineStr">
        <is>
          <t>Sveaskog</t>
        </is>
      </c>
      <c r="G150" t="n">
        <v>1.6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21915-2025</t>
        </is>
      </c>
      <c r="B151" s="1" t="n">
        <v>45784</v>
      </c>
      <c r="C151" s="1" t="n">
        <v>46192</v>
      </c>
      <c r="D151" t="inlineStr">
        <is>
          <t>ÖREBRO LÄN</t>
        </is>
      </c>
      <c r="E151" t="inlineStr">
        <is>
          <t>KARLSKOGA</t>
        </is>
      </c>
      <c r="G151" t="n">
        <v>12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24099-2025</t>
        </is>
      </c>
      <c r="B152" s="1" t="n">
        <v>45796</v>
      </c>
      <c r="C152" s="1" t="n">
        <v>46192</v>
      </c>
      <c r="D152" t="inlineStr">
        <is>
          <t>ÖREBRO LÄN</t>
        </is>
      </c>
      <c r="E152" t="inlineStr">
        <is>
          <t>KARLSKOGA</t>
        </is>
      </c>
      <c r="G152" t="n">
        <v>1.4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42803-2023</t>
        </is>
      </c>
      <c r="B153" s="1" t="n">
        <v>45182</v>
      </c>
      <c r="C153" s="1" t="n">
        <v>46192</v>
      </c>
      <c r="D153" t="inlineStr">
        <is>
          <t>ÖREBRO LÄN</t>
        </is>
      </c>
      <c r="E153" t="inlineStr">
        <is>
          <t>KARLSKOGA</t>
        </is>
      </c>
      <c r="F153" t="inlineStr">
        <is>
          <t>Sveaskog</t>
        </is>
      </c>
      <c r="G153" t="n">
        <v>0.7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8803-2025</t>
        </is>
      </c>
      <c r="B154" s="1" t="n">
        <v>45712</v>
      </c>
      <c r="C154" s="1" t="n">
        <v>46192</v>
      </c>
      <c r="D154" t="inlineStr">
        <is>
          <t>ÖREBRO LÄN</t>
        </is>
      </c>
      <c r="E154" t="inlineStr">
        <is>
          <t>KARLSKOGA</t>
        </is>
      </c>
      <c r="G154" t="n">
        <v>1.5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16783-2026</t>
        </is>
      </c>
      <c r="B155" s="1" t="n">
        <v>46113</v>
      </c>
      <c r="C155" s="1" t="n">
        <v>46192</v>
      </c>
      <c r="D155" t="inlineStr">
        <is>
          <t>ÖREBRO LÄN</t>
        </is>
      </c>
      <c r="E155" t="inlineStr">
        <is>
          <t>KARLSKOGA</t>
        </is>
      </c>
      <c r="F155" t="inlineStr">
        <is>
          <t>Sveaskog</t>
        </is>
      </c>
      <c r="G155" t="n">
        <v>1.7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16787-2026</t>
        </is>
      </c>
      <c r="B156" s="1" t="n">
        <v>46113</v>
      </c>
      <c r="C156" s="1" t="n">
        <v>46192</v>
      </c>
      <c r="D156" t="inlineStr">
        <is>
          <t>ÖREBRO LÄN</t>
        </is>
      </c>
      <c r="E156" t="inlineStr">
        <is>
          <t>KARLSKOGA</t>
        </is>
      </c>
      <c r="F156" t="inlineStr">
        <is>
          <t>Sveaskog</t>
        </is>
      </c>
      <c r="G156" t="n">
        <v>2.8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27498-2025</t>
        </is>
      </c>
      <c r="B157" s="1" t="n">
        <v>45813</v>
      </c>
      <c r="C157" s="1" t="n">
        <v>46192</v>
      </c>
      <c r="D157" t="inlineStr">
        <is>
          <t>ÖREBRO LÄN</t>
        </is>
      </c>
      <c r="E157" t="inlineStr">
        <is>
          <t>KARLSKOGA</t>
        </is>
      </c>
      <c r="G157" t="n">
        <v>1.2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16782-2026</t>
        </is>
      </c>
      <c r="B158" s="1" t="n">
        <v>46113</v>
      </c>
      <c r="C158" s="1" t="n">
        <v>46192</v>
      </c>
      <c r="D158" t="inlineStr">
        <is>
          <t>ÖREBRO LÄN</t>
        </is>
      </c>
      <c r="E158" t="inlineStr">
        <is>
          <t>KARLSKOGA</t>
        </is>
      </c>
      <c r="F158" t="inlineStr">
        <is>
          <t>Sveaskog</t>
        </is>
      </c>
      <c r="G158" t="n">
        <v>2.6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56313-2024</t>
        </is>
      </c>
      <c r="B159" s="1" t="n">
        <v>45624</v>
      </c>
      <c r="C159" s="1" t="n">
        <v>46192</v>
      </c>
      <c r="D159" t="inlineStr">
        <is>
          <t>ÖREBRO LÄN</t>
        </is>
      </c>
      <c r="E159" t="inlineStr">
        <is>
          <t>KARLSKOGA</t>
        </is>
      </c>
      <c r="F159" t="inlineStr">
        <is>
          <t>Kyrkan</t>
        </is>
      </c>
      <c r="G159" t="n">
        <v>2.2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10743-2023</t>
        </is>
      </c>
      <c r="B160" s="1" t="n">
        <v>44988</v>
      </c>
      <c r="C160" s="1" t="n">
        <v>46192</v>
      </c>
      <c r="D160" t="inlineStr">
        <is>
          <t>ÖREBRO LÄN</t>
        </is>
      </c>
      <c r="E160" t="inlineStr">
        <is>
          <t>KARLSKOGA</t>
        </is>
      </c>
      <c r="F160" t="inlineStr">
        <is>
          <t>Kyrkan</t>
        </is>
      </c>
      <c r="G160" t="n">
        <v>2.4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14215-2024</t>
        </is>
      </c>
      <c r="B161" s="1" t="n">
        <v>45393</v>
      </c>
      <c r="C161" s="1" t="n">
        <v>46192</v>
      </c>
      <c r="D161" t="inlineStr">
        <is>
          <t>ÖREBRO LÄN</t>
        </is>
      </c>
      <c r="E161" t="inlineStr">
        <is>
          <t>KARLSKOGA</t>
        </is>
      </c>
      <c r="F161" t="inlineStr">
        <is>
          <t>Kommuner</t>
        </is>
      </c>
      <c r="G161" t="n">
        <v>4.2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55191-2023</t>
        </is>
      </c>
      <c r="B162" s="1" t="n">
        <v>45237</v>
      </c>
      <c r="C162" s="1" t="n">
        <v>46192</v>
      </c>
      <c r="D162" t="inlineStr">
        <is>
          <t>ÖREBRO LÄN</t>
        </is>
      </c>
      <c r="E162" t="inlineStr">
        <is>
          <t>KARLSKOGA</t>
        </is>
      </c>
      <c r="G162" t="n">
        <v>1.9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15062-2026</t>
        </is>
      </c>
      <c r="B163" s="1" t="n">
        <v>46104</v>
      </c>
      <c r="C163" s="1" t="n">
        <v>46192</v>
      </c>
      <c r="D163" t="inlineStr">
        <is>
          <t>ÖREBRO LÄN</t>
        </is>
      </c>
      <c r="E163" t="inlineStr">
        <is>
          <t>KARLSKOGA</t>
        </is>
      </c>
      <c r="G163" t="n">
        <v>6.1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17299-2026</t>
        </is>
      </c>
      <c r="B164" s="1" t="n">
        <v>46119</v>
      </c>
      <c r="C164" s="1" t="n">
        <v>46192</v>
      </c>
      <c r="D164" t="inlineStr">
        <is>
          <t>ÖREBRO LÄN</t>
        </is>
      </c>
      <c r="E164" t="inlineStr">
        <is>
          <t>KARLSKOGA</t>
        </is>
      </c>
      <c r="F164" t="inlineStr">
        <is>
          <t>Övriga Aktiebolag</t>
        </is>
      </c>
      <c r="G164" t="n">
        <v>3.4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23620-2024</t>
        </is>
      </c>
      <c r="B165" s="1" t="n">
        <v>45454</v>
      </c>
      <c r="C165" s="1" t="n">
        <v>46192</v>
      </c>
      <c r="D165" t="inlineStr">
        <is>
          <t>ÖREBRO LÄN</t>
        </is>
      </c>
      <c r="E165" t="inlineStr">
        <is>
          <t>KARLSKOGA</t>
        </is>
      </c>
      <c r="G165" t="n">
        <v>2.2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53647-2023</t>
        </is>
      </c>
      <c r="B166" s="1" t="n">
        <v>45230</v>
      </c>
      <c r="C166" s="1" t="n">
        <v>46192</v>
      </c>
      <c r="D166" t="inlineStr">
        <is>
          <t>ÖREBRO LÄN</t>
        </is>
      </c>
      <c r="E166" t="inlineStr">
        <is>
          <t>KARLSKOGA</t>
        </is>
      </c>
      <c r="G166" t="n">
        <v>0.6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15058-2026</t>
        </is>
      </c>
      <c r="B167" s="1" t="n">
        <v>46104</v>
      </c>
      <c r="C167" s="1" t="n">
        <v>46192</v>
      </c>
      <c r="D167" t="inlineStr">
        <is>
          <t>ÖREBRO LÄN</t>
        </is>
      </c>
      <c r="E167" t="inlineStr">
        <is>
          <t>KARLSKOGA</t>
        </is>
      </c>
      <c r="G167" t="n">
        <v>4.3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15061-2026</t>
        </is>
      </c>
      <c r="B168" s="1" t="n">
        <v>46104</v>
      </c>
      <c r="C168" s="1" t="n">
        <v>46192</v>
      </c>
      <c r="D168" t="inlineStr">
        <is>
          <t>ÖREBRO LÄN</t>
        </is>
      </c>
      <c r="E168" t="inlineStr">
        <is>
          <t>KARLSKOGA</t>
        </is>
      </c>
      <c r="G168" t="n">
        <v>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17261-2026</t>
        </is>
      </c>
      <c r="B169" s="1" t="n">
        <v>46119</v>
      </c>
      <c r="C169" s="1" t="n">
        <v>46192</v>
      </c>
      <c r="D169" t="inlineStr">
        <is>
          <t>ÖREBRO LÄN</t>
        </is>
      </c>
      <c r="E169" t="inlineStr">
        <is>
          <t>KARLSKOGA</t>
        </is>
      </c>
      <c r="F169" t="inlineStr">
        <is>
          <t>Övriga Aktiebolag</t>
        </is>
      </c>
      <c r="G169" t="n">
        <v>6.8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59025-2024</t>
        </is>
      </c>
      <c r="B170" s="1" t="n">
        <v>45636</v>
      </c>
      <c r="C170" s="1" t="n">
        <v>46192</v>
      </c>
      <c r="D170" t="inlineStr">
        <is>
          <t>ÖREBRO LÄN</t>
        </is>
      </c>
      <c r="E170" t="inlineStr">
        <is>
          <t>KARLSKOGA</t>
        </is>
      </c>
      <c r="F170" t="inlineStr">
        <is>
          <t>Kyrkan</t>
        </is>
      </c>
      <c r="G170" t="n">
        <v>0.7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30102-2025</t>
        </is>
      </c>
      <c r="B171" s="1" t="n">
        <v>45826</v>
      </c>
      <c r="C171" s="1" t="n">
        <v>46192</v>
      </c>
      <c r="D171" t="inlineStr">
        <is>
          <t>ÖREBRO LÄN</t>
        </is>
      </c>
      <c r="E171" t="inlineStr">
        <is>
          <t>KARLSKOGA</t>
        </is>
      </c>
      <c r="G171" t="n">
        <v>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34585-2021</t>
        </is>
      </c>
      <c r="B172" s="1" t="n">
        <v>44382</v>
      </c>
      <c r="C172" s="1" t="n">
        <v>46192</v>
      </c>
      <c r="D172" t="inlineStr">
        <is>
          <t>ÖREBRO LÄN</t>
        </is>
      </c>
      <c r="E172" t="inlineStr">
        <is>
          <t>KARLSKOGA</t>
        </is>
      </c>
      <c r="G172" t="n">
        <v>1.1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54680-2021</t>
        </is>
      </c>
      <c r="B173" s="1" t="n">
        <v>44473</v>
      </c>
      <c r="C173" s="1" t="n">
        <v>46192</v>
      </c>
      <c r="D173" t="inlineStr">
        <is>
          <t>ÖREBRO LÄN</t>
        </is>
      </c>
      <c r="E173" t="inlineStr">
        <is>
          <t>KARLSKOGA</t>
        </is>
      </c>
      <c r="G173" t="n">
        <v>2.9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15060-2026</t>
        </is>
      </c>
      <c r="B174" s="1" t="n">
        <v>46104</v>
      </c>
      <c r="C174" s="1" t="n">
        <v>46192</v>
      </c>
      <c r="D174" t="inlineStr">
        <is>
          <t>ÖREBRO LÄN</t>
        </is>
      </c>
      <c r="E174" t="inlineStr">
        <is>
          <t>KARLSKOGA</t>
        </is>
      </c>
      <c r="G174" t="n">
        <v>11.5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31397-2025</t>
        </is>
      </c>
      <c r="B175" s="1" t="n">
        <v>45833</v>
      </c>
      <c r="C175" s="1" t="n">
        <v>46192</v>
      </c>
      <c r="D175" t="inlineStr">
        <is>
          <t>ÖREBRO LÄN</t>
        </is>
      </c>
      <c r="E175" t="inlineStr">
        <is>
          <t>KARLSKOGA</t>
        </is>
      </c>
      <c r="G175" t="n">
        <v>1.5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17910-2026</t>
        </is>
      </c>
      <c r="B176" s="1" t="n">
        <v>46122</v>
      </c>
      <c r="C176" s="1" t="n">
        <v>46192</v>
      </c>
      <c r="D176" t="inlineStr">
        <is>
          <t>ÖREBRO LÄN</t>
        </is>
      </c>
      <c r="E176" t="inlineStr">
        <is>
          <t>KARLSKOGA</t>
        </is>
      </c>
      <c r="G176" t="n">
        <v>4.8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32287-2025</t>
        </is>
      </c>
      <c r="B177" s="1" t="n">
        <v>45835</v>
      </c>
      <c r="C177" s="1" t="n">
        <v>46192</v>
      </c>
      <c r="D177" t="inlineStr">
        <is>
          <t>ÖREBRO LÄN</t>
        </is>
      </c>
      <c r="E177" t="inlineStr">
        <is>
          <t>KARLSKOGA</t>
        </is>
      </c>
      <c r="F177" t="inlineStr">
        <is>
          <t>Kyrkan</t>
        </is>
      </c>
      <c r="G177" t="n">
        <v>10.9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17734-2026</t>
        </is>
      </c>
      <c r="B178" s="1" t="n">
        <v>46122</v>
      </c>
      <c r="C178" s="1" t="n">
        <v>46192</v>
      </c>
      <c r="D178" t="inlineStr">
        <is>
          <t>ÖREBRO LÄN</t>
        </is>
      </c>
      <c r="E178" t="inlineStr">
        <is>
          <t>KARLSKOGA</t>
        </is>
      </c>
      <c r="F178" t="inlineStr">
        <is>
          <t>Sveaskog</t>
        </is>
      </c>
      <c r="G178" t="n">
        <v>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23754-2026</t>
        </is>
      </c>
      <c r="B179" s="1" t="n">
        <v>46164</v>
      </c>
      <c r="C179" s="1" t="n">
        <v>46192</v>
      </c>
      <c r="D179" t="inlineStr">
        <is>
          <t>ÖREBRO LÄN</t>
        </is>
      </c>
      <c r="E179" t="inlineStr">
        <is>
          <t>KARLSKOGA</t>
        </is>
      </c>
      <c r="F179" t="inlineStr">
        <is>
          <t>Sveaskog</t>
        </is>
      </c>
      <c r="G179" t="n">
        <v>12.2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17243-2024</t>
        </is>
      </c>
      <c r="B180" s="1" t="n">
        <v>45414</v>
      </c>
      <c r="C180" s="1" t="n">
        <v>46192</v>
      </c>
      <c r="D180" t="inlineStr">
        <is>
          <t>ÖREBRO LÄN</t>
        </is>
      </c>
      <c r="E180" t="inlineStr">
        <is>
          <t>KARLSKOGA</t>
        </is>
      </c>
      <c r="G180" t="n">
        <v>3.2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24666-2026</t>
        </is>
      </c>
      <c r="B181" s="1" t="n">
        <v>46171</v>
      </c>
      <c r="C181" s="1" t="n">
        <v>46192</v>
      </c>
      <c r="D181" t="inlineStr">
        <is>
          <t>ÖREBRO LÄN</t>
        </is>
      </c>
      <c r="E181" t="inlineStr">
        <is>
          <t>KARLSKOGA</t>
        </is>
      </c>
      <c r="G181" t="n">
        <v>6.1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35060-2024</t>
        </is>
      </c>
      <c r="B182" s="1" t="n">
        <v>45527</v>
      </c>
      <c r="C182" s="1" t="n">
        <v>46192</v>
      </c>
      <c r="D182" t="inlineStr">
        <is>
          <t>ÖREBRO LÄN</t>
        </is>
      </c>
      <c r="E182" t="inlineStr">
        <is>
          <t>KARLSKOGA</t>
        </is>
      </c>
      <c r="F182" t="inlineStr">
        <is>
          <t>Kyrkan</t>
        </is>
      </c>
      <c r="G182" t="n">
        <v>0.6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19009-2026</t>
        </is>
      </c>
      <c r="B183" s="1" t="n">
        <v>46130</v>
      </c>
      <c r="C183" s="1" t="n">
        <v>46192</v>
      </c>
      <c r="D183" t="inlineStr">
        <is>
          <t>ÖREBRO LÄN</t>
        </is>
      </c>
      <c r="E183" t="inlineStr">
        <is>
          <t>KARLSKOGA</t>
        </is>
      </c>
      <c r="F183" t="inlineStr">
        <is>
          <t>Sveaskog</t>
        </is>
      </c>
      <c r="G183" t="n">
        <v>6.3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25093-2026</t>
        </is>
      </c>
      <c r="B184" s="1" t="n">
        <v>46175</v>
      </c>
      <c r="C184" s="1" t="n">
        <v>46192</v>
      </c>
      <c r="D184" t="inlineStr">
        <is>
          <t>ÖREBRO LÄN</t>
        </is>
      </c>
      <c r="E184" t="inlineStr">
        <is>
          <t>KARLSKOGA</t>
        </is>
      </c>
      <c r="F184" t="inlineStr">
        <is>
          <t>Sveaskog</t>
        </is>
      </c>
      <c r="G184" t="n">
        <v>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25098-2026</t>
        </is>
      </c>
      <c r="B185" s="1" t="n">
        <v>46175</v>
      </c>
      <c r="C185" s="1" t="n">
        <v>46192</v>
      </c>
      <c r="D185" t="inlineStr">
        <is>
          <t>ÖREBRO LÄN</t>
        </is>
      </c>
      <c r="E185" t="inlineStr">
        <is>
          <t>KARLSKOGA</t>
        </is>
      </c>
      <c r="F185" t="inlineStr">
        <is>
          <t>Sveaskog</t>
        </is>
      </c>
      <c r="G185" t="n">
        <v>1.4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19011-2026</t>
        </is>
      </c>
      <c r="B186" s="1" t="n">
        <v>46130</v>
      </c>
      <c r="C186" s="1" t="n">
        <v>46192</v>
      </c>
      <c r="D186" t="inlineStr">
        <is>
          <t>ÖREBRO LÄN</t>
        </is>
      </c>
      <c r="E186" t="inlineStr">
        <is>
          <t>KARLSKOGA</t>
        </is>
      </c>
      <c r="F186" t="inlineStr">
        <is>
          <t>Sveaskog</t>
        </is>
      </c>
      <c r="G186" t="n">
        <v>0.9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19010-2026</t>
        </is>
      </c>
      <c r="B187" s="1" t="n">
        <v>46130</v>
      </c>
      <c r="C187" s="1" t="n">
        <v>46192</v>
      </c>
      <c r="D187" t="inlineStr">
        <is>
          <t>ÖREBRO LÄN</t>
        </is>
      </c>
      <c r="E187" t="inlineStr">
        <is>
          <t>KARLSKOGA</t>
        </is>
      </c>
      <c r="F187" t="inlineStr">
        <is>
          <t>Sveaskog</t>
        </is>
      </c>
      <c r="G187" t="n">
        <v>1.9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25092-2026</t>
        </is>
      </c>
      <c r="B188" s="1" t="n">
        <v>46175</v>
      </c>
      <c r="C188" s="1" t="n">
        <v>46192</v>
      </c>
      <c r="D188" t="inlineStr">
        <is>
          <t>ÖREBRO LÄN</t>
        </is>
      </c>
      <c r="E188" t="inlineStr">
        <is>
          <t>KARLSKOGA</t>
        </is>
      </c>
      <c r="F188" t="inlineStr">
        <is>
          <t>Sveaskog</t>
        </is>
      </c>
      <c r="G188" t="n">
        <v>1.9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19008-2026</t>
        </is>
      </c>
      <c r="B189" s="1" t="n">
        <v>46130</v>
      </c>
      <c r="C189" s="1" t="n">
        <v>46192</v>
      </c>
      <c r="D189" t="inlineStr">
        <is>
          <t>ÖREBRO LÄN</t>
        </is>
      </c>
      <c r="E189" t="inlineStr">
        <is>
          <t>KARLSKOGA</t>
        </is>
      </c>
      <c r="F189" t="inlineStr">
        <is>
          <t>Sveaskog</t>
        </is>
      </c>
      <c r="G189" t="n">
        <v>1.9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52826-2024</t>
        </is>
      </c>
      <c r="B190" s="1" t="n">
        <v>45610</v>
      </c>
      <c r="C190" s="1" t="n">
        <v>46192</v>
      </c>
      <c r="D190" t="inlineStr">
        <is>
          <t>ÖREBRO LÄN</t>
        </is>
      </c>
      <c r="E190" t="inlineStr">
        <is>
          <t>KARLSKOGA</t>
        </is>
      </c>
      <c r="G190" t="n">
        <v>2.2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52829-2024</t>
        </is>
      </c>
      <c r="B191" s="1" t="n">
        <v>45610</v>
      </c>
      <c r="C191" s="1" t="n">
        <v>46192</v>
      </c>
      <c r="D191" t="inlineStr">
        <is>
          <t>ÖREBRO LÄN</t>
        </is>
      </c>
      <c r="E191" t="inlineStr">
        <is>
          <t>KARLSKOGA</t>
        </is>
      </c>
      <c r="G191" t="n">
        <v>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19663-2026</t>
        </is>
      </c>
      <c r="B192" s="1" t="n">
        <v>46134</v>
      </c>
      <c r="C192" s="1" t="n">
        <v>46192</v>
      </c>
      <c r="D192" t="inlineStr">
        <is>
          <t>ÖREBRO LÄN</t>
        </is>
      </c>
      <c r="E192" t="inlineStr">
        <is>
          <t>KARLSKOGA</t>
        </is>
      </c>
      <c r="F192" t="inlineStr">
        <is>
          <t>Sveaskog</t>
        </is>
      </c>
      <c r="G192" t="n">
        <v>1.6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11974-2025</t>
        </is>
      </c>
      <c r="B193" s="1" t="n">
        <v>45728</v>
      </c>
      <c r="C193" s="1" t="n">
        <v>46192</v>
      </c>
      <c r="D193" t="inlineStr">
        <is>
          <t>ÖREBRO LÄN</t>
        </is>
      </c>
      <c r="E193" t="inlineStr">
        <is>
          <t>KARLSKOGA</t>
        </is>
      </c>
      <c r="G193" t="n">
        <v>1.4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28474-2023</t>
        </is>
      </c>
      <c r="B194" s="1" t="n">
        <v>45103</v>
      </c>
      <c r="C194" s="1" t="n">
        <v>46192</v>
      </c>
      <c r="D194" t="inlineStr">
        <is>
          <t>ÖREBRO LÄN</t>
        </is>
      </c>
      <c r="E194" t="inlineStr">
        <is>
          <t>KARLSKOGA</t>
        </is>
      </c>
      <c r="G194" t="n">
        <v>5.1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61271-2022</t>
        </is>
      </c>
      <c r="B195" s="1" t="n">
        <v>44909</v>
      </c>
      <c r="C195" s="1" t="n">
        <v>46192</v>
      </c>
      <c r="D195" t="inlineStr">
        <is>
          <t>ÖREBRO LÄN</t>
        </is>
      </c>
      <c r="E195" t="inlineStr">
        <is>
          <t>KARLSKOGA</t>
        </is>
      </c>
      <c r="F195" t="inlineStr">
        <is>
          <t>Övriga Aktiebolag</t>
        </is>
      </c>
      <c r="G195" t="n">
        <v>14.1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48168-2024</t>
        </is>
      </c>
      <c r="B196" s="1" t="n">
        <v>45589</v>
      </c>
      <c r="C196" s="1" t="n">
        <v>46192</v>
      </c>
      <c r="D196" t="inlineStr">
        <is>
          <t>ÖREBRO LÄN</t>
        </is>
      </c>
      <c r="E196" t="inlineStr">
        <is>
          <t>KARLSKOGA</t>
        </is>
      </c>
      <c r="G196" t="n">
        <v>5.5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18955-2025</t>
        </is>
      </c>
      <c r="B197" s="1" t="n">
        <v>45764</v>
      </c>
      <c r="C197" s="1" t="n">
        <v>46192</v>
      </c>
      <c r="D197" t="inlineStr">
        <is>
          <t>ÖREBRO LÄN</t>
        </is>
      </c>
      <c r="E197" t="inlineStr">
        <is>
          <t>KARLSKOGA</t>
        </is>
      </c>
      <c r="G197" t="n">
        <v>8.1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6835-2025</t>
        </is>
      </c>
      <c r="B198" s="1" t="n">
        <v>45700</v>
      </c>
      <c r="C198" s="1" t="n">
        <v>46192</v>
      </c>
      <c r="D198" t="inlineStr">
        <is>
          <t>ÖREBRO LÄN</t>
        </is>
      </c>
      <c r="E198" t="inlineStr">
        <is>
          <t>KARLSKOGA</t>
        </is>
      </c>
      <c r="G198" t="n">
        <v>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26653-2025</t>
        </is>
      </c>
      <c r="B199" s="1" t="n">
        <v>45810</v>
      </c>
      <c r="C199" s="1" t="n">
        <v>46192</v>
      </c>
      <c r="D199" t="inlineStr">
        <is>
          <t>ÖREBRO LÄN</t>
        </is>
      </c>
      <c r="E199" t="inlineStr">
        <is>
          <t>KARLSKOGA</t>
        </is>
      </c>
      <c r="F199" t="inlineStr">
        <is>
          <t>Sveaskog</t>
        </is>
      </c>
      <c r="G199" t="n">
        <v>3.8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50614-2024</t>
        </is>
      </c>
      <c r="B200" s="1" t="n">
        <v>45601</v>
      </c>
      <c r="C200" s="1" t="n">
        <v>46192</v>
      </c>
      <c r="D200" t="inlineStr">
        <is>
          <t>ÖREBRO LÄN</t>
        </is>
      </c>
      <c r="E200" t="inlineStr">
        <is>
          <t>KARLSKOGA</t>
        </is>
      </c>
      <c r="G200" t="n">
        <v>0.7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55182-2024</t>
        </is>
      </c>
      <c r="B201" s="1" t="n">
        <v>45618</v>
      </c>
      <c r="C201" s="1" t="n">
        <v>46192</v>
      </c>
      <c r="D201" t="inlineStr">
        <is>
          <t>ÖREBRO LÄN</t>
        </is>
      </c>
      <c r="E201" t="inlineStr">
        <is>
          <t>KARLSKOGA</t>
        </is>
      </c>
      <c r="G201" t="n">
        <v>11.4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21210-2025</t>
        </is>
      </c>
      <c r="B202" s="1" t="n">
        <v>45779</v>
      </c>
      <c r="C202" s="1" t="n">
        <v>46192</v>
      </c>
      <c r="D202" t="inlineStr">
        <is>
          <t>ÖREBRO LÄN</t>
        </is>
      </c>
      <c r="E202" t="inlineStr">
        <is>
          <t>KARLSKOGA</t>
        </is>
      </c>
      <c r="F202" t="inlineStr">
        <is>
          <t>Sveaskog</t>
        </is>
      </c>
      <c r="G202" t="n">
        <v>1.1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23717-2025</t>
        </is>
      </c>
      <c r="B203" s="1" t="n">
        <v>45793</v>
      </c>
      <c r="C203" s="1" t="n">
        <v>46192</v>
      </c>
      <c r="D203" t="inlineStr">
        <is>
          <t>ÖREBRO LÄN</t>
        </is>
      </c>
      <c r="E203" t="inlineStr">
        <is>
          <t>KARLSKOGA</t>
        </is>
      </c>
      <c r="G203" t="n">
        <v>2.1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4058-2022</t>
        </is>
      </c>
      <c r="B204" s="1" t="n">
        <v>44588</v>
      </c>
      <c r="C204" s="1" t="n">
        <v>46192</v>
      </c>
      <c r="D204" t="inlineStr">
        <is>
          <t>ÖREBRO LÄN</t>
        </is>
      </c>
      <c r="E204" t="inlineStr">
        <is>
          <t>KARLSKOGA</t>
        </is>
      </c>
      <c r="G204" t="n">
        <v>1.7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3239-2026</t>
        </is>
      </c>
      <c r="B205" s="1" t="n">
        <v>46041</v>
      </c>
      <c r="C205" s="1" t="n">
        <v>46192</v>
      </c>
      <c r="D205" t="inlineStr">
        <is>
          <t>ÖREBRO LÄN</t>
        </is>
      </c>
      <c r="E205" t="inlineStr">
        <is>
          <t>KARLSKOGA</t>
        </is>
      </c>
      <c r="G205" t="n">
        <v>1.6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917-2026</t>
        </is>
      </c>
      <c r="B206" s="1" t="n">
        <v>46030</v>
      </c>
      <c r="C206" s="1" t="n">
        <v>46192</v>
      </c>
      <c r="D206" t="inlineStr">
        <is>
          <t>ÖREBRO LÄN</t>
        </is>
      </c>
      <c r="E206" t="inlineStr">
        <is>
          <t>KARLSKOGA</t>
        </is>
      </c>
      <c r="G206" t="n">
        <v>3.7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26822-2026</t>
        </is>
      </c>
      <c r="B207" s="1" t="n">
        <v>46185</v>
      </c>
      <c r="C207" s="1" t="n">
        <v>46192</v>
      </c>
      <c r="D207" t="inlineStr">
        <is>
          <t>ÖREBRO LÄN</t>
        </is>
      </c>
      <c r="E207" t="inlineStr">
        <is>
          <t>KARLSKOGA</t>
        </is>
      </c>
      <c r="F207" t="inlineStr">
        <is>
          <t>Sveaskog</t>
        </is>
      </c>
      <c r="G207" t="n">
        <v>2.2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26824-2026</t>
        </is>
      </c>
      <c r="B208" s="1" t="n">
        <v>46185</v>
      </c>
      <c r="C208" s="1" t="n">
        <v>46192</v>
      </c>
      <c r="D208" t="inlineStr">
        <is>
          <t>ÖREBRO LÄN</t>
        </is>
      </c>
      <c r="E208" t="inlineStr">
        <is>
          <t>KARLSKOGA</t>
        </is>
      </c>
      <c r="F208" t="inlineStr">
        <is>
          <t>Sveaskog</t>
        </is>
      </c>
      <c r="G208" t="n">
        <v>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26825-2026</t>
        </is>
      </c>
      <c r="B209" s="1" t="n">
        <v>46185</v>
      </c>
      <c r="C209" s="1" t="n">
        <v>46192</v>
      </c>
      <c r="D209" t="inlineStr">
        <is>
          <t>ÖREBRO LÄN</t>
        </is>
      </c>
      <c r="E209" t="inlineStr">
        <is>
          <t>KARLSKOGA</t>
        </is>
      </c>
      <c r="F209" t="inlineStr">
        <is>
          <t>Sveaskog</t>
        </is>
      </c>
      <c r="G209" t="n">
        <v>0.8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20909-2026</t>
        </is>
      </c>
      <c r="B210" s="1" t="n">
        <v>46142</v>
      </c>
      <c r="C210" s="1" t="n">
        <v>46192</v>
      </c>
      <c r="D210" t="inlineStr">
        <is>
          <t>ÖREBRO LÄN</t>
        </is>
      </c>
      <c r="E210" t="inlineStr">
        <is>
          <t>KARLSKOGA</t>
        </is>
      </c>
      <c r="F210" t="inlineStr">
        <is>
          <t>Övriga Aktiebolag</t>
        </is>
      </c>
      <c r="G210" t="n">
        <v>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26608-2026</t>
        </is>
      </c>
      <c r="B211" s="1" t="n">
        <v>46184</v>
      </c>
      <c r="C211" s="1" t="n">
        <v>46192</v>
      </c>
      <c r="D211" t="inlineStr">
        <is>
          <t>ÖREBRO LÄN</t>
        </is>
      </c>
      <c r="E211" t="inlineStr">
        <is>
          <t>KARLSKOGA</t>
        </is>
      </c>
      <c r="F211" t="inlineStr">
        <is>
          <t>Sveaskog</t>
        </is>
      </c>
      <c r="G211" t="n">
        <v>1.6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26819-2026</t>
        </is>
      </c>
      <c r="B212" s="1" t="n">
        <v>46185</v>
      </c>
      <c r="C212" s="1" t="n">
        <v>46192</v>
      </c>
      <c r="D212" t="inlineStr">
        <is>
          <t>ÖREBRO LÄN</t>
        </is>
      </c>
      <c r="E212" t="inlineStr">
        <is>
          <t>KARLSKOGA</t>
        </is>
      </c>
      <c r="F212" t="inlineStr">
        <is>
          <t>Sveaskog</t>
        </is>
      </c>
      <c r="G212" t="n">
        <v>2.4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26820-2026</t>
        </is>
      </c>
      <c r="B213" s="1" t="n">
        <v>46185</v>
      </c>
      <c r="C213" s="1" t="n">
        <v>46192</v>
      </c>
      <c r="D213" t="inlineStr">
        <is>
          <t>ÖREBRO LÄN</t>
        </is>
      </c>
      <c r="E213" t="inlineStr">
        <is>
          <t>KARLSKOGA</t>
        </is>
      </c>
      <c r="F213" t="inlineStr">
        <is>
          <t>Sveaskog</t>
        </is>
      </c>
      <c r="G213" t="n">
        <v>9.9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26821-2026</t>
        </is>
      </c>
      <c r="B214" s="1" t="n">
        <v>46185</v>
      </c>
      <c r="C214" s="1" t="n">
        <v>46192</v>
      </c>
      <c r="D214" t="inlineStr">
        <is>
          <t>ÖREBRO LÄN</t>
        </is>
      </c>
      <c r="E214" t="inlineStr">
        <is>
          <t>KARLSKOGA</t>
        </is>
      </c>
      <c r="F214" t="inlineStr">
        <is>
          <t>Sveaskog</t>
        </is>
      </c>
      <c r="G214" t="n">
        <v>7.9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20897-2026</t>
        </is>
      </c>
      <c r="B215" s="1" t="n">
        <v>46142</v>
      </c>
      <c r="C215" s="1" t="n">
        <v>46192</v>
      </c>
      <c r="D215" t="inlineStr">
        <is>
          <t>ÖREBRO LÄN</t>
        </is>
      </c>
      <c r="E215" t="inlineStr">
        <is>
          <t>KARLSKOGA</t>
        </is>
      </c>
      <c r="F215" t="inlineStr">
        <is>
          <t>Övriga Aktiebolag</t>
        </is>
      </c>
      <c r="G215" t="n">
        <v>13.7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27120-2026</t>
        </is>
      </c>
      <c r="B216" s="1" t="n">
        <v>46188</v>
      </c>
      <c r="C216" s="1" t="n">
        <v>46192</v>
      </c>
      <c r="D216" t="inlineStr">
        <is>
          <t>ÖREBRO LÄN</t>
        </is>
      </c>
      <c r="E216" t="inlineStr">
        <is>
          <t>KARLSKOGA</t>
        </is>
      </c>
      <c r="G216" t="n">
        <v>4.7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27392-2026</t>
        </is>
      </c>
      <c r="B217" s="1" t="n">
        <v>46189</v>
      </c>
      <c r="C217" s="1" t="n">
        <v>46192</v>
      </c>
      <c r="D217" t="inlineStr">
        <is>
          <t>ÖREBRO LÄN</t>
        </is>
      </c>
      <c r="E217" t="inlineStr">
        <is>
          <t>KARLSKOGA</t>
        </is>
      </c>
      <c r="F217" t="inlineStr">
        <is>
          <t>Sveaskog</t>
        </is>
      </c>
      <c r="G217" t="n">
        <v>2.8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21253-2026</t>
        </is>
      </c>
      <c r="B218" s="1" t="n">
        <v>46147</v>
      </c>
      <c r="C218" s="1" t="n">
        <v>46192</v>
      </c>
      <c r="D218" t="inlineStr">
        <is>
          <t>ÖREBRO LÄN</t>
        </is>
      </c>
      <c r="E218" t="inlineStr">
        <is>
          <t>KARLSKOGA</t>
        </is>
      </c>
      <c r="G218" t="n">
        <v>3.4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21257-2026</t>
        </is>
      </c>
      <c r="B219" s="1" t="n">
        <v>46147</v>
      </c>
      <c r="C219" s="1" t="n">
        <v>46192</v>
      </c>
      <c r="D219" t="inlineStr">
        <is>
          <t>ÖREBRO LÄN</t>
        </is>
      </c>
      <c r="E219" t="inlineStr">
        <is>
          <t>KARLSKOGA</t>
        </is>
      </c>
      <c r="G219" t="n">
        <v>2.7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>
      <c r="A220" t="inlineStr">
        <is>
          <t>A 21454-2026</t>
        </is>
      </c>
      <c r="B220" s="1" t="n">
        <v>46148</v>
      </c>
      <c r="C220" s="1" t="n">
        <v>46192</v>
      </c>
      <c r="D220" t="inlineStr">
        <is>
          <t>ÖREBRO LÄN</t>
        </is>
      </c>
      <c r="E220" t="inlineStr">
        <is>
          <t>KARLSKOGA</t>
        </is>
      </c>
      <c r="F220" t="inlineStr">
        <is>
          <t>Kyrkan</t>
        </is>
      </c>
      <c r="G220" t="n">
        <v>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2026-06-19T00:47:45Z</dcterms:created>
  <dcterms:modified xmlns:dcterms="http://purl.org/dc/terms/" xmlns:xsi="http://www.w3.org/2001/XMLSchema-instance" xsi:type="dcterms:W3CDTF">2026-06-19T00:47:46Z</dcterms:modified>
</cp:coreProperties>
</file>