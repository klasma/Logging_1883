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46193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46193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46193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46193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46193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46193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46193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46193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46193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46193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46193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46193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33290-2025</t>
        </is>
      </c>
      <c r="B17" s="1" t="n">
        <v>45840</v>
      </c>
      <c r="C17" s="1" t="n">
        <v>46193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9.4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HYPERLINK("https://klasma.github.io/Logging_1883/artfynd/A 33290-2025 artfynd.xlsx", "A 33290-2025")</f>
        <v/>
      </c>
      <c r="T17">
        <f>HYPERLINK("https://klasma.github.io/Logging_1883/kartor/A 33290-2025 karta.png", "A 33290-2025")</f>
        <v/>
      </c>
      <c r="V17">
        <f>HYPERLINK("https://klasma.github.io/Logging_1883/klagomål/A 33290-2025 FSC-klagomål.docx", "A 33290-2025")</f>
        <v/>
      </c>
      <c r="W17">
        <f>HYPERLINK("https://klasma.github.io/Logging_1883/klagomålsmail/A 33290-2025 FSC-klagomål mail.docx", "A 33290-2025")</f>
        <v/>
      </c>
      <c r="X17">
        <f>HYPERLINK("https://klasma.github.io/Logging_1883/tillsyn/A 33290-2025 tillsynsbegäran.docx", "A 33290-2025")</f>
        <v/>
      </c>
      <c r="Y17">
        <f>HYPERLINK("https://klasma.github.io/Logging_1883/tillsynsmail/A 33290-2025 tillsynsbegäran mail.docx", "A 33290-2025")</f>
        <v/>
      </c>
    </row>
    <row r="18" ht="15" customHeight="1">
      <c r="A18" t="inlineStr">
        <is>
          <t>A 39025-2022</t>
        </is>
      </c>
      <c r="B18" s="1" t="n">
        <v>44817</v>
      </c>
      <c r="C18" s="1" t="n">
        <v>46193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46193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58091-2022</t>
        </is>
      </c>
      <c r="B20" s="1" t="n">
        <v>44900</v>
      </c>
      <c r="C20" s="1" t="n">
        <v>46193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HYPERLINK("https://klasma.github.io/Logging_1883/artfynd/A 58091-2022 artfynd.xlsx", "A 58091-2022")</f>
        <v/>
      </c>
      <c r="T20">
        <f>HYPERLINK("https://klasma.github.io/Logging_1883/kartor/A 58091-2022 karta.png", "A 58091-2022")</f>
        <v/>
      </c>
      <c r="V20">
        <f>HYPERLINK("https://klasma.github.io/Logging_1883/klagomål/A 58091-2022 FSC-klagomål.docx", "A 58091-2022")</f>
        <v/>
      </c>
      <c r="W20">
        <f>HYPERLINK("https://klasma.github.io/Logging_1883/klagomålsmail/A 58091-2022 FSC-klagomål mail.docx", "A 58091-2022")</f>
        <v/>
      </c>
      <c r="X20">
        <f>HYPERLINK("https://klasma.github.io/Logging_1883/tillsyn/A 58091-2022 tillsynsbegäran.docx", "A 58091-2022")</f>
        <v/>
      </c>
      <c r="Y20">
        <f>HYPERLINK("https://klasma.github.io/Logging_1883/tillsynsmail/A 58091-2022 tillsynsbegäran mail.docx", "A 58091-2022")</f>
        <v/>
      </c>
    </row>
    <row r="21" ht="15" customHeight="1">
      <c r="A21" t="inlineStr">
        <is>
          <t>A 28566-2024</t>
        </is>
      </c>
      <c r="B21" s="1" t="n">
        <v>45478</v>
      </c>
      <c r="C21" s="1" t="n">
        <v>46193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HYPERLINK("https://klasma.github.io/Logging_1883/artfynd/A 28566-2024 artfynd.xlsx", "A 28566-2024")</f>
        <v/>
      </c>
      <c r="T21">
        <f>HYPERLINK("https://klasma.github.io/Logging_1883/kartor/A 28566-2024 karta.png", "A 28566-2024")</f>
        <v/>
      </c>
      <c r="V21">
        <f>HYPERLINK("https://klasma.github.io/Logging_1883/klagomål/A 28566-2024 FSC-klagomål.docx", "A 28566-2024")</f>
        <v/>
      </c>
      <c r="W21">
        <f>HYPERLINK("https://klasma.github.io/Logging_1883/klagomålsmail/A 28566-2024 FSC-klagomål mail.docx", "A 28566-2024")</f>
        <v/>
      </c>
      <c r="X21">
        <f>HYPERLINK("https://klasma.github.io/Logging_1883/tillsyn/A 28566-2024 tillsynsbegäran.docx", "A 28566-2024")</f>
        <v/>
      </c>
      <c r="Y21">
        <f>HYPERLINK("https://klasma.github.io/Logging_1883/tillsynsmail/A 28566-2024 tillsynsbegäran mail.docx", "A 28566-2024")</f>
        <v/>
      </c>
      <c r="Z21">
        <f>HYPERLINK("https://klasma.github.io/Logging_1883/fåglar/A 28566-2024 prioriterade fågelarter.docx", "A 28566-2024")</f>
        <v/>
      </c>
    </row>
    <row r="22" ht="15" customHeight="1">
      <c r="A22" t="inlineStr">
        <is>
          <t>A 20110-2026</t>
        </is>
      </c>
      <c r="B22" s="1" t="n">
        <v>46136</v>
      </c>
      <c r="C22" s="1" t="n">
        <v>46193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20110-2026 artfynd.xlsx", "A 20110-2026")</f>
        <v/>
      </c>
      <c r="T22">
        <f>HYPERLINK("https://klasma.github.io/Logging_1883/kartor/A 20110-2026 karta.png", "A 20110-2026")</f>
        <v/>
      </c>
      <c r="V22">
        <f>HYPERLINK("https://klasma.github.io/Logging_1883/klagomål/A 20110-2026 FSC-klagomål.docx", "A 20110-2026")</f>
        <v/>
      </c>
      <c r="W22">
        <f>HYPERLINK("https://klasma.github.io/Logging_1883/klagomålsmail/A 20110-2026 FSC-klagomål mail.docx", "A 20110-2026")</f>
        <v/>
      </c>
      <c r="X22">
        <f>HYPERLINK("https://klasma.github.io/Logging_1883/tillsyn/A 20110-2026 tillsynsbegäran.docx", "A 20110-2026")</f>
        <v/>
      </c>
      <c r="Y22">
        <f>HYPERLINK("https://klasma.github.io/Logging_1883/tillsynsmail/A 20110-2026 tillsynsbegäran mail.docx", "A 20110-2026")</f>
        <v/>
      </c>
    </row>
    <row r="23" ht="15" customHeight="1">
      <c r="A23" t="inlineStr">
        <is>
          <t>A 52377-2025</t>
        </is>
      </c>
      <c r="B23" s="1" t="n">
        <v>45953</v>
      </c>
      <c r="C23" s="1" t="n">
        <v>46193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21019-2026</t>
        </is>
      </c>
      <c r="B24" s="1" t="n">
        <v>46145</v>
      </c>
      <c r="C24" s="1" t="n">
        <v>46193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HYPERLINK("https://klasma.github.io/Logging_1883/artfynd/A 21019-2026 artfynd.xlsx", "A 21019-2026")</f>
        <v/>
      </c>
      <c r="T24">
        <f>HYPERLINK("https://klasma.github.io/Logging_1883/kartor/A 21019-2026 karta.png", "A 21019-2026")</f>
        <v/>
      </c>
      <c r="V24">
        <f>HYPERLINK("https://klasma.github.io/Logging_1883/klagomål/A 21019-2026 FSC-klagomål.docx", "A 21019-2026")</f>
        <v/>
      </c>
      <c r="W24">
        <f>HYPERLINK("https://klasma.github.io/Logging_1883/klagomålsmail/A 21019-2026 FSC-klagomål mail.docx", "A 21019-2026")</f>
        <v/>
      </c>
      <c r="X24">
        <f>HYPERLINK("https://klasma.github.io/Logging_1883/tillsyn/A 21019-2026 tillsynsbegäran.docx", "A 21019-2026")</f>
        <v/>
      </c>
      <c r="Y24">
        <f>HYPERLINK("https://klasma.github.io/Logging_1883/tillsynsmail/A 21019-2026 tillsynsbegäran mail.docx", "A 21019-2026")</f>
        <v/>
      </c>
    </row>
    <row r="25" ht="15" customHeight="1">
      <c r="A25" t="inlineStr">
        <is>
          <t>A 40528-2024</t>
        </is>
      </c>
      <c r="B25" s="1" t="n">
        <v>45555</v>
      </c>
      <c r="C25" s="1" t="n">
        <v>46193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12690-2026</t>
        </is>
      </c>
      <c r="B26" s="1" t="n">
        <v>46091</v>
      </c>
      <c r="C26" s="1" t="n">
        <v>46193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HYPERLINK("https://klasma.github.io/Logging_1883/artfynd/A 12690-2026 artfynd.xlsx", "A 12690-2026")</f>
        <v/>
      </c>
      <c r="T26">
        <f>HYPERLINK("https://klasma.github.io/Logging_1883/kartor/A 12690-2026 karta.png", "A 12690-2026")</f>
        <v/>
      </c>
      <c r="V26">
        <f>HYPERLINK("https://klasma.github.io/Logging_1883/klagomål/A 12690-2026 FSC-klagomål.docx", "A 12690-2026")</f>
        <v/>
      </c>
      <c r="W26">
        <f>HYPERLINK("https://klasma.github.io/Logging_1883/klagomålsmail/A 12690-2026 FSC-klagomål mail.docx", "A 12690-2026")</f>
        <v/>
      </c>
      <c r="X26">
        <f>HYPERLINK("https://klasma.github.io/Logging_1883/tillsyn/A 12690-2026 tillsynsbegäran.docx", "A 12690-2026")</f>
        <v/>
      </c>
      <c r="Y26">
        <f>HYPERLINK("https://klasma.github.io/Logging_1883/tillsynsmail/A 12690-2026 tillsynsbegäran mail.docx", "A 12690-2026")</f>
        <v/>
      </c>
    </row>
    <row r="27" ht="15" customHeight="1">
      <c r="A27" t="inlineStr">
        <is>
          <t>A 63188-2025</t>
        </is>
      </c>
      <c r="B27" s="1" t="n">
        <v>46010</v>
      </c>
      <c r="C27" s="1" t="n">
        <v>46193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63188-2025 artfynd.xlsx", "A 63188-2025")</f>
        <v/>
      </c>
      <c r="T27">
        <f>HYPERLINK("https://klasma.github.io/Logging_1883/kartor/A 63188-2025 karta.png", "A 63188-2025")</f>
        <v/>
      </c>
      <c r="V27">
        <f>HYPERLINK("https://klasma.github.io/Logging_1883/klagomål/A 63188-2025 FSC-klagomål.docx", "A 63188-2025")</f>
        <v/>
      </c>
      <c r="W27">
        <f>HYPERLINK("https://klasma.github.io/Logging_1883/klagomålsmail/A 63188-2025 FSC-klagomål mail.docx", "A 63188-2025")</f>
        <v/>
      </c>
      <c r="X27">
        <f>HYPERLINK("https://klasma.github.io/Logging_1883/tillsyn/A 63188-2025 tillsynsbegäran.docx", "A 63188-2025")</f>
        <v/>
      </c>
      <c r="Y27">
        <f>HYPERLINK("https://klasma.github.io/Logging_1883/tillsynsmail/A 63188-2025 tillsynsbegäran mail.docx", "A 63188-2025")</f>
        <v/>
      </c>
      <c r="Z27">
        <f>HYPERLINK("https://klasma.github.io/Logging_1883/fåglar/A 63188-2025 prioriterade fågelarter.docx", "A 63188-2025")</f>
        <v/>
      </c>
    </row>
    <row r="28" ht="15" customHeight="1">
      <c r="A28" t="inlineStr">
        <is>
          <t>A 16784-2026</t>
        </is>
      </c>
      <c r="B28" s="1" t="n">
        <v>46113</v>
      </c>
      <c r="C28" s="1" t="n">
        <v>46193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HYPERLINK("https://klasma.github.io/Logging_1883/artfynd/A 16784-2026 artfynd.xlsx", "A 16784-2026")</f>
        <v/>
      </c>
      <c r="T28">
        <f>HYPERLINK("https://klasma.github.io/Logging_1883/kartor/A 16784-2026 karta.png", "A 16784-2026")</f>
        <v/>
      </c>
      <c r="V28">
        <f>HYPERLINK("https://klasma.github.io/Logging_1883/klagomål/A 16784-2026 FSC-klagomål.docx", "A 16784-2026")</f>
        <v/>
      </c>
      <c r="W28">
        <f>HYPERLINK("https://klasma.github.io/Logging_1883/klagomålsmail/A 16784-2026 FSC-klagomål mail.docx", "A 16784-2026")</f>
        <v/>
      </c>
      <c r="X28">
        <f>HYPERLINK("https://klasma.github.io/Logging_1883/tillsyn/A 16784-2026 tillsynsbegäran.docx", "A 16784-2026")</f>
        <v/>
      </c>
      <c r="Y28">
        <f>HYPERLINK("https://klasma.github.io/Logging_1883/tillsynsmail/A 16784-2026 tillsynsbegäran mail.docx", "A 16784-2026")</f>
        <v/>
      </c>
    </row>
    <row r="29" ht="15" customHeight="1">
      <c r="A29" t="inlineStr">
        <is>
          <t>A 18427-2026</t>
        </is>
      </c>
      <c r="B29" s="1" t="n">
        <v>46127</v>
      </c>
      <c r="C29" s="1" t="n">
        <v>46193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HYPERLINK("https://klasma.github.io/Logging_1883/artfynd/A 18427-2026 artfynd.xlsx", "A 18427-2026")</f>
        <v/>
      </c>
      <c r="T29">
        <f>HYPERLINK("https://klasma.github.io/Logging_1883/kartor/A 18427-2026 karta.png", "A 18427-2026")</f>
        <v/>
      </c>
      <c r="V29">
        <f>HYPERLINK("https://klasma.github.io/Logging_1883/klagomål/A 18427-2026 FSC-klagomål.docx", "A 18427-2026")</f>
        <v/>
      </c>
      <c r="W29">
        <f>HYPERLINK("https://klasma.github.io/Logging_1883/klagomålsmail/A 18427-2026 FSC-klagomål mail.docx", "A 18427-2026")</f>
        <v/>
      </c>
      <c r="X29">
        <f>HYPERLINK("https://klasma.github.io/Logging_1883/tillsyn/A 18427-2026 tillsynsbegäran.docx", "A 18427-2026")</f>
        <v/>
      </c>
      <c r="Y29">
        <f>HYPERLINK("https://klasma.github.io/Logging_1883/tillsynsmail/A 18427-2026 tillsynsbegäran mail.docx", "A 18427-2026")</f>
        <v/>
      </c>
      <c r="Z29">
        <f>HYPERLINK("https://klasma.github.io/Logging_1883/fåglar/A 18427-2026 prioriterade fågelarter.docx", "A 18427-2026")</f>
        <v/>
      </c>
    </row>
    <row r="30" ht="15" customHeight="1">
      <c r="A30" t="inlineStr">
        <is>
          <t>A 19233-2026</t>
        </is>
      </c>
      <c r="B30" s="1" t="n">
        <v>46132</v>
      </c>
      <c r="C30" s="1" t="n">
        <v>46193</v>
      </c>
      <c r="D30" t="inlineStr">
        <is>
          <t>ÖREBRO LÄN</t>
        </is>
      </c>
      <c r="E30" t="inlineStr">
        <is>
          <t>KARLSKOGA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HYPERLINK("https://klasma.github.io/Logging_1883/artfynd/A 19233-2026 artfynd.xlsx", "A 19233-2026")</f>
        <v/>
      </c>
      <c r="T30">
        <f>HYPERLINK("https://klasma.github.io/Logging_1883/kartor/A 19233-2026 karta.png", "A 19233-2026")</f>
        <v/>
      </c>
      <c r="V30">
        <f>HYPERLINK("https://klasma.github.io/Logging_1883/klagomål/A 19233-2026 FSC-klagomål.docx", "A 19233-2026")</f>
        <v/>
      </c>
      <c r="W30">
        <f>HYPERLINK("https://klasma.github.io/Logging_1883/klagomålsmail/A 19233-2026 FSC-klagomål mail.docx", "A 19233-2026")</f>
        <v/>
      </c>
      <c r="X30">
        <f>HYPERLINK("https://klasma.github.io/Logging_1883/tillsyn/A 19233-2026 tillsynsbegäran.docx", "A 19233-2026")</f>
        <v/>
      </c>
      <c r="Y30">
        <f>HYPERLINK("https://klasma.github.io/Logging_1883/tillsynsmail/A 19233-2026 tillsynsbegäran mail.docx", "A 19233-2026")</f>
        <v/>
      </c>
    </row>
    <row r="31" ht="15" customHeight="1">
      <c r="A31" t="inlineStr">
        <is>
          <t>A 73701-2021</t>
        </is>
      </c>
      <c r="B31" s="1" t="n">
        <v>44552</v>
      </c>
      <c r="C31" s="1" t="n">
        <v>46193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</v>
      </c>
      <c r="C32" s="1" t="n">
        <v>46193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46193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46193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</v>
      </c>
      <c r="C35" s="1" t="n">
        <v>46193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</v>
      </c>
      <c r="C36" s="1" t="n">
        <v>46193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</v>
      </c>
      <c r="C37" s="1" t="n">
        <v>46193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</v>
      </c>
      <c r="C38" s="1" t="n">
        <v>46193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34460-2021</t>
        </is>
      </c>
      <c r="B39" s="1" t="n">
        <v>44381</v>
      </c>
      <c r="C39" s="1" t="n">
        <v>46193</v>
      </c>
      <c r="D39" t="inlineStr">
        <is>
          <t>ÖREBRO LÄN</t>
        </is>
      </c>
      <c r="E39" t="inlineStr">
        <is>
          <t>KARLSKOGA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</v>
      </c>
      <c r="C40" s="1" t="n">
        <v>46193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</v>
      </c>
      <c r="C41" s="1" t="n">
        <v>46193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</v>
      </c>
      <c r="C42" s="1" t="n">
        <v>46193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46193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46193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</v>
      </c>
      <c r="C45" s="1" t="n">
        <v>46193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46193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46193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20289-2024</t>
        </is>
      </c>
      <c r="B48" s="1" t="n">
        <v>45435</v>
      </c>
      <c r="C48" s="1" t="n">
        <v>46193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1106-2024</t>
        </is>
      </c>
      <c r="B49" s="1" t="n">
        <v>45302</v>
      </c>
      <c r="C49" s="1" t="n">
        <v>46193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48707-2024</t>
        </is>
      </c>
      <c r="B50" s="1" t="n">
        <v>45593</v>
      </c>
      <c r="C50" s="1" t="n">
        <v>46193</v>
      </c>
      <c r="D50" t="inlineStr">
        <is>
          <t>ÖREBRO LÄN</t>
        </is>
      </c>
      <c r="E50" t="inlineStr">
        <is>
          <t>KARLSKOGA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38190-2024</t>
        </is>
      </c>
      <c r="B51" s="1" t="n">
        <v>45545</v>
      </c>
      <c r="C51" s="1" t="n">
        <v>46193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</v>
      </c>
      <c r="C52" s="1" t="n">
        <v>46193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46193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</v>
      </c>
      <c r="C54" s="1" t="n">
        <v>46193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</v>
      </c>
      <c r="C55" s="1" t="n">
        <v>46193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46193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35470-2024</t>
        </is>
      </c>
      <c r="B57" s="1" t="n">
        <v>45531</v>
      </c>
      <c r="C57" s="1" t="n">
        <v>46193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4058-2022</t>
        </is>
      </c>
      <c r="B58" s="1" t="n">
        <v>44588</v>
      </c>
      <c r="C58" s="1" t="n">
        <v>46193</v>
      </c>
      <c r="D58" t="inlineStr">
        <is>
          <t>ÖREBRO LÄN</t>
        </is>
      </c>
      <c r="E58" t="inlineStr">
        <is>
          <t>KARLSKOGA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15256-2025</t>
        </is>
      </c>
      <c r="B59" s="1" t="n">
        <v>45744</v>
      </c>
      <c r="C59" s="1" t="n">
        <v>46193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39027-2022</t>
        </is>
      </c>
      <c r="B60" s="1" t="n">
        <v>44817</v>
      </c>
      <c r="C60" s="1" t="n">
        <v>46193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8803-2025</t>
        </is>
      </c>
      <c r="B61" s="1" t="n">
        <v>45712</v>
      </c>
      <c r="C61" s="1" t="n">
        <v>46193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43075-2023</t>
        </is>
      </c>
      <c r="B62" s="1" t="n">
        <v>45182</v>
      </c>
      <c r="C62" s="1" t="n">
        <v>46193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</v>
      </c>
      <c r="C63" s="1" t="n">
        <v>46193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8990-2023</t>
        </is>
      </c>
      <c r="B64" s="1" t="n">
        <v>44979</v>
      </c>
      <c r="C64" s="1" t="n">
        <v>46193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35444-2024</t>
        </is>
      </c>
      <c r="B65" s="1" t="n">
        <v>45531</v>
      </c>
      <c r="C65" s="1" t="n">
        <v>46193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35471-2024</t>
        </is>
      </c>
      <c r="B66" s="1" t="n">
        <v>45531</v>
      </c>
      <c r="C66" s="1" t="n">
        <v>46193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58390-2024</t>
        </is>
      </c>
      <c r="B67" s="1" t="n">
        <v>45633</v>
      </c>
      <c r="C67" s="1" t="n">
        <v>46193</v>
      </c>
      <c r="D67" t="inlineStr">
        <is>
          <t>ÖREBRO LÄN</t>
        </is>
      </c>
      <c r="E67" t="inlineStr">
        <is>
          <t>KARLSKOGA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50614-2024</t>
        </is>
      </c>
      <c r="B68" s="1" t="n">
        <v>45601</v>
      </c>
      <c r="C68" s="1" t="n">
        <v>46193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</v>
      </c>
      <c r="C69" s="1" t="n">
        <v>46193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35445-2024</t>
        </is>
      </c>
      <c r="B70" s="1" t="n">
        <v>45531</v>
      </c>
      <c r="C70" s="1" t="n">
        <v>46193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55182-2024</t>
        </is>
      </c>
      <c r="B71" s="1" t="n">
        <v>45618</v>
      </c>
      <c r="C71" s="1" t="n">
        <v>46193</v>
      </c>
      <c r="D71" t="inlineStr">
        <is>
          <t>ÖREBRO LÄN</t>
        </is>
      </c>
      <c r="E71" t="inlineStr">
        <is>
          <t>KARLSKOGA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39337-2022</t>
        </is>
      </c>
      <c r="B72" s="1" t="n">
        <v>44817</v>
      </c>
      <c r="C72" s="1" t="n">
        <v>46193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52797-2021</t>
        </is>
      </c>
      <c r="B73" s="1" t="n">
        <v>44467</v>
      </c>
      <c r="C73" s="1" t="n">
        <v>46193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18768-2025</t>
        </is>
      </c>
      <c r="B74" s="1" t="n">
        <v>45764</v>
      </c>
      <c r="C74" s="1" t="n">
        <v>46193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42803-2023</t>
        </is>
      </c>
      <c r="B75" s="1" t="n">
        <v>45182</v>
      </c>
      <c r="C75" s="1" t="n">
        <v>46193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8259-2025</t>
        </is>
      </c>
      <c r="B76" s="1" t="n">
        <v>45708</v>
      </c>
      <c r="C76" s="1" t="n">
        <v>46193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20086-2024</t>
        </is>
      </c>
      <c r="B77" s="1" t="n">
        <v>45434</v>
      </c>
      <c r="C77" s="1" t="n">
        <v>46193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53620-2024</t>
        </is>
      </c>
      <c r="B78" s="1" t="n">
        <v>45614</v>
      </c>
      <c r="C78" s="1" t="n">
        <v>46193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9510-2023</t>
        </is>
      </c>
      <c r="B79" s="1" t="n">
        <v>44981</v>
      </c>
      <c r="C79" s="1" t="n">
        <v>46193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24255-2024</t>
        </is>
      </c>
      <c r="B80" s="1" t="n">
        <v>45457</v>
      </c>
      <c r="C80" s="1" t="n">
        <v>46193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35930-2023</t>
        </is>
      </c>
      <c r="B81" s="1" t="n">
        <v>45148</v>
      </c>
      <c r="C81" s="1" t="n">
        <v>46193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47196-2023</t>
        </is>
      </c>
      <c r="B82" s="1" t="n">
        <v>45196</v>
      </c>
      <c r="C82" s="1" t="n">
        <v>46193</v>
      </c>
      <c r="D82" t="inlineStr">
        <is>
          <t>ÖREBRO LÄN</t>
        </is>
      </c>
      <c r="E82" t="inlineStr">
        <is>
          <t>KARLSKOGA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56887-2022</t>
        </is>
      </c>
      <c r="B83" s="1" t="n">
        <v>44894</v>
      </c>
      <c r="C83" s="1" t="n">
        <v>46193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53618-2024</t>
        </is>
      </c>
      <c r="B84" s="1" t="n">
        <v>45614</v>
      </c>
      <c r="C84" s="1" t="n">
        <v>46193</v>
      </c>
      <c r="D84" t="inlineStr">
        <is>
          <t>ÖREBRO LÄN</t>
        </is>
      </c>
      <c r="E84" t="inlineStr">
        <is>
          <t>KARLSKOGA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38196-2024</t>
        </is>
      </c>
      <c r="B85" s="1" t="n">
        <v>45545</v>
      </c>
      <c r="C85" s="1" t="n">
        <v>46193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58388-2024</t>
        </is>
      </c>
      <c r="B86" s="1" t="n">
        <v>45633</v>
      </c>
      <c r="C86" s="1" t="n">
        <v>46193</v>
      </c>
      <c r="D86" t="inlineStr">
        <is>
          <t>ÖREBRO LÄN</t>
        </is>
      </c>
      <c r="E86" t="inlineStr">
        <is>
          <t>KARLSKOGA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47201-2023</t>
        </is>
      </c>
      <c r="B87" s="1" t="n">
        <v>45196</v>
      </c>
      <c r="C87" s="1" t="n">
        <v>46193</v>
      </c>
      <c r="D87" t="inlineStr">
        <is>
          <t>ÖREBRO LÄN</t>
        </is>
      </c>
      <c r="E87" t="inlineStr">
        <is>
          <t>KARLSKOGA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59025-2024</t>
        </is>
      </c>
      <c r="B88" s="1" t="n">
        <v>45636</v>
      </c>
      <c r="C88" s="1" t="n">
        <v>46193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17815-2025</t>
        </is>
      </c>
      <c r="B89" s="1" t="n">
        <v>45758</v>
      </c>
      <c r="C89" s="1" t="n">
        <v>46193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13501-2025</t>
        </is>
      </c>
      <c r="B90" s="1" t="n">
        <v>45736</v>
      </c>
      <c r="C90" s="1" t="n">
        <v>46193</v>
      </c>
      <c r="D90" t="inlineStr">
        <is>
          <t>ÖREBRO LÄN</t>
        </is>
      </c>
      <c r="E90" t="inlineStr">
        <is>
          <t>KARLSKOGA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47094-2023</t>
        </is>
      </c>
      <c r="B91" s="1" t="n">
        <v>45196</v>
      </c>
      <c r="C91" s="1" t="n">
        <v>46193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10506-2025</t>
        </is>
      </c>
      <c r="B92" s="1" t="n">
        <v>45721</v>
      </c>
      <c r="C92" s="1" t="n">
        <v>46193</v>
      </c>
      <c r="D92" t="inlineStr">
        <is>
          <t>ÖREBRO LÄN</t>
        </is>
      </c>
      <c r="E92" t="inlineStr">
        <is>
          <t>KARLSKOGA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917-2026</t>
        </is>
      </c>
      <c r="B93" s="1" t="n">
        <v>46030</v>
      </c>
      <c r="C93" s="1" t="n">
        <v>46193</v>
      </c>
      <c r="D93" t="inlineStr">
        <is>
          <t>ÖREBRO LÄN</t>
        </is>
      </c>
      <c r="E93" t="inlineStr">
        <is>
          <t>KARLSKOGA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31921-2022</t>
        </is>
      </c>
      <c r="B94" s="1" t="n">
        <v>44777</v>
      </c>
      <c r="C94" s="1" t="n">
        <v>46193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42804-2023</t>
        </is>
      </c>
      <c r="B95" s="1" t="n">
        <v>45182</v>
      </c>
      <c r="C95" s="1" t="n">
        <v>46193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39030-2022</t>
        </is>
      </c>
      <c r="B96" s="1" t="n">
        <v>44817</v>
      </c>
      <c r="C96" s="1" t="n">
        <v>46193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52828-2024</t>
        </is>
      </c>
      <c r="B97" s="1" t="n">
        <v>45610</v>
      </c>
      <c r="C97" s="1" t="n">
        <v>46193</v>
      </c>
      <c r="D97" t="inlineStr">
        <is>
          <t>ÖREBRO LÄN</t>
        </is>
      </c>
      <c r="E97" t="inlineStr">
        <is>
          <t>KARLSKOGA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8244-2025</t>
        </is>
      </c>
      <c r="B98" s="1" t="n">
        <v>45708</v>
      </c>
      <c r="C98" s="1" t="n">
        <v>46193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28100-2024</t>
        </is>
      </c>
      <c r="B99" s="1" t="n">
        <v>45476</v>
      </c>
      <c r="C99" s="1" t="n">
        <v>46193</v>
      </c>
      <c r="D99" t="inlineStr">
        <is>
          <t>ÖREBRO LÄN</t>
        </is>
      </c>
      <c r="E99" t="inlineStr">
        <is>
          <t>KARLSKOGA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17243-2024</t>
        </is>
      </c>
      <c r="B100" s="1" t="n">
        <v>45414</v>
      </c>
      <c r="C100" s="1" t="n">
        <v>46193</v>
      </c>
      <c r="D100" t="inlineStr">
        <is>
          <t>ÖREBRO LÄN</t>
        </is>
      </c>
      <c r="E100" t="inlineStr">
        <is>
          <t>KARLSKOGA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59938-2023</t>
        </is>
      </c>
      <c r="B101" s="1" t="n">
        <v>45257</v>
      </c>
      <c r="C101" s="1" t="n">
        <v>46193</v>
      </c>
      <c r="D101" t="inlineStr">
        <is>
          <t>ÖREBRO LÄN</t>
        </is>
      </c>
      <c r="E101" t="inlineStr">
        <is>
          <t>KARLSKOGA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51344-2023</t>
        </is>
      </c>
      <c r="B102" s="1" t="n">
        <v>45219</v>
      </c>
      <c r="C102" s="1" t="n">
        <v>46193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44946-2025</t>
        </is>
      </c>
      <c r="B103" s="1" t="n">
        <v>45918</v>
      </c>
      <c r="C103" s="1" t="n">
        <v>46193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44949-2025</t>
        </is>
      </c>
      <c r="B104" s="1" t="n">
        <v>45918</v>
      </c>
      <c r="C104" s="1" t="n">
        <v>46193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21247-2025</t>
        </is>
      </c>
      <c r="B105" s="1" t="n">
        <v>45779</v>
      </c>
      <c r="C105" s="1" t="n">
        <v>46193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22234-2025</t>
        </is>
      </c>
      <c r="B106" s="1" t="n">
        <v>45785</v>
      </c>
      <c r="C106" s="1" t="n">
        <v>46193</v>
      </c>
      <c r="D106" t="inlineStr">
        <is>
          <t>ÖREBRO LÄN</t>
        </is>
      </c>
      <c r="E106" t="inlineStr">
        <is>
          <t>KARLSKOGA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22244-2025</t>
        </is>
      </c>
      <c r="B107" s="1" t="n">
        <v>45785</v>
      </c>
      <c r="C107" s="1" t="n">
        <v>46193</v>
      </c>
      <c r="D107" t="inlineStr">
        <is>
          <t>ÖREBRO LÄN</t>
        </is>
      </c>
      <c r="E107" t="inlineStr">
        <is>
          <t>KARLSKOGA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4587-2025</t>
        </is>
      </c>
      <c r="B108" s="1" t="n">
        <v>45687</v>
      </c>
      <c r="C108" s="1" t="n">
        <v>46193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38742-2023</t>
        </is>
      </c>
      <c r="B109" s="1" t="n">
        <v>45161</v>
      </c>
      <c r="C109" s="1" t="n">
        <v>46193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41777-2021</t>
        </is>
      </c>
      <c r="B110" s="1" t="n">
        <v>44425</v>
      </c>
      <c r="C110" s="1" t="n">
        <v>46193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41779-2021</t>
        </is>
      </c>
      <c r="B111" s="1" t="n">
        <v>44425</v>
      </c>
      <c r="C111" s="1" t="n">
        <v>46193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3735-2024</t>
        </is>
      </c>
      <c r="B112" s="1" t="n">
        <v>45321</v>
      </c>
      <c r="C112" s="1" t="n">
        <v>46193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20463-2025</t>
        </is>
      </c>
      <c r="B113" s="1" t="n">
        <v>45775</v>
      </c>
      <c r="C113" s="1" t="n">
        <v>46193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23308-2025</t>
        </is>
      </c>
      <c r="B114" s="1" t="n">
        <v>45791</v>
      </c>
      <c r="C114" s="1" t="n">
        <v>46193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28471-2023</t>
        </is>
      </c>
      <c r="B115" s="1" t="n">
        <v>45103</v>
      </c>
      <c r="C115" s="1" t="n">
        <v>46193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3239-2026</t>
        </is>
      </c>
      <c r="B116" s="1" t="n">
        <v>46041</v>
      </c>
      <c r="C116" s="1" t="n">
        <v>46193</v>
      </c>
      <c r="D116" t="inlineStr">
        <is>
          <t>ÖREBRO LÄN</t>
        </is>
      </c>
      <c r="E116" t="inlineStr">
        <is>
          <t>KARLSKOGA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16881-2023</t>
        </is>
      </c>
      <c r="B117" s="1" t="n">
        <v>45033</v>
      </c>
      <c r="C117" s="1" t="n">
        <v>46193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50958-2025</t>
        </is>
      </c>
      <c r="B118" s="1" t="n">
        <v>45946</v>
      </c>
      <c r="C118" s="1" t="n">
        <v>46193</v>
      </c>
      <c r="D118" t="inlineStr">
        <is>
          <t>ÖREBRO LÄN</t>
        </is>
      </c>
      <c r="E118" t="inlineStr">
        <is>
          <t>KARLSKOGA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</v>
      </c>
      <c r="C119" s="1" t="n">
        <v>46193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21915-2025</t>
        </is>
      </c>
      <c r="B120" s="1" t="n">
        <v>45784</v>
      </c>
      <c r="C120" s="1" t="n">
        <v>46193</v>
      </c>
      <c r="D120" t="inlineStr">
        <is>
          <t>ÖREBRO LÄN</t>
        </is>
      </c>
      <c r="E120" t="inlineStr">
        <is>
          <t>KARLSKOGA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24099-2025</t>
        </is>
      </c>
      <c r="B121" s="1" t="n">
        <v>45796</v>
      </c>
      <c r="C121" s="1" t="n">
        <v>46193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20897-2026</t>
        </is>
      </c>
      <c r="B122" s="1" t="n">
        <v>46142</v>
      </c>
      <c r="C122" s="1" t="n">
        <v>46193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20909-2026</t>
        </is>
      </c>
      <c r="B123" s="1" t="n">
        <v>46142</v>
      </c>
      <c r="C123" s="1" t="n">
        <v>46193</v>
      </c>
      <c r="D123" t="inlineStr">
        <is>
          <t>ÖREBRO LÄN</t>
        </is>
      </c>
      <c r="E123" t="inlineStr">
        <is>
          <t>KARLSKOGA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4164-2022</t>
        </is>
      </c>
      <c r="B124" s="1" t="n">
        <v>44588</v>
      </c>
      <c r="C124" s="1" t="n">
        <v>46193</v>
      </c>
      <c r="D124" t="inlineStr">
        <is>
          <t>ÖREBRO LÄN</t>
        </is>
      </c>
      <c r="E124" t="inlineStr">
        <is>
          <t>KARLSKOGA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61271-2022</t>
        </is>
      </c>
      <c r="B125" s="1" t="n">
        <v>44909</v>
      </c>
      <c r="C125" s="1" t="n">
        <v>46193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26608-2026</t>
        </is>
      </c>
      <c r="B126" s="1" t="n">
        <v>46184</v>
      </c>
      <c r="C126" s="1" t="n">
        <v>46193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52379-2025</t>
        </is>
      </c>
      <c r="B127" s="1" t="n">
        <v>45953</v>
      </c>
      <c r="C127" s="1" t="n">
        <v>46193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57422-2021</t>
        </is>
      </c>
      <c r="B128" s="1" t="n">
        <v>44483</v>
      </c>
      <c r="C128" s="1" t="n">
        <v>46193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27498-2025</t>
        </is>
      </c>
      <c r="B129" s="1" t="n">
        <v>45813</v>
      </c>
      <c r="C129" s="1" t="n">
        <v>46193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35060-2024</t>
        </is>
      </c>
      <c r="B130" s="1" t="n">
        <v>45527</v>
      </c>
      <c r="C130" s="1" t="n">
        <v>46193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55025-2025</t>
        </is>
      </c>
      <c r="B131" s="1" t="n">
        <v>45967</v>
      </c>
      <c r="C131" s="1" t="n">
        <v>46193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54680-2021</t>
        </is>
      </c>
      <c r="B132" s="1" t="n">
        <v>44473</v>
      </c>
      <c r="C132" s="1" t="n">
        <v>46193</v>
      </c>
      <c r="D132" t="inlineStr">
        <is>
          <t>ÖREBRO LÄN</t>
        </is>
      </c>
      <c r="E132" t="inlineStr">
        <is>
          <t>KARLSKOGA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</v>
      </c>
      <c r="C133" s="1" t="n">
        <v>46193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30102-2025</t>
        </is>
      </c>
      <c r="B134" s="1" t="n">
        <v>45826</v>
      </c>
      <c r="C134" s="1" t="n">
        <v>46193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53647-2023</t>
        </is>
      </c>
      <c r="B135" s="1" t="n">
        <v>45230</v>
      </c>
      <c r="C135" s="1" t="n">
        <v>46193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34585-2021</t>
        </is>
      </c>
      <c r="B136" s="1" t="n">
        <v>44382</v>
      </c>
      <c r="C136" s="1" t="n">
        <v>46193</v>
      </c>
      <c r="D136" t="inlineStr">
        <is>
          <t>ÖREBRO LÄN</t>
        </is>
      </c>
      <c r="E136" t="inlineStr">
        <is>
          <t>KARLSKOGA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23620-2024</t>
        </is>
      </c>
      <c r="B137" s="1" t="n">
        <v>45454</v>
      </c>
      <c r="C137" s="1" t="n">
        <v>46193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14215-2024</t>
        </is>
      </c>
      <c r="B138" s="1" t="n">
        <v>45393</v>
      </c>
      <c r="C138" s="1" t="n">
        <v>46193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31397-2025</t>
        </is>
      </c>
      <c r="B139" s="1" t="n">
        <v>45833</v>
      </c>
      <c r="C139" s="1" t="n">
        <v>46193</v>
      </c>
      <c r="D139" t="inlineStr">
        <is>
          <t>ÖREBRO LÄN</t>
        </is>
      </c>
      <c r="E139" t="inlineStr">
        <is>
          <t>KARLSKOGA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32287-2025</t>
        </is>
      </c>
      <c r="B140" s="1" t="n">
        <v>45835</v>
      </c>
      <c r="C140" s="1" t="n">
        <v>46193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24116-2024</t>
        </is>
      </c>
      <c r="B141" s="1" t="n">
        <v>45456</v>
      </c>
      <c r="C141" s="1" t="n">
        <v>46193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26819-2026</t>
        </is>
      </c>
      <c r="B142" s="1" t="n">
        <v>46185</v>
      </c>
      <c r="C142" s="1" t="n">
        <v>46193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</v>
      </c>
      <c r="C143" s="1" t="n">
        <v>46193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</v>
      </c>
      <c r="C144" s="1" t="n">
        <v>46193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26820-2026</t>
        </is>
      </c>
      <c r="B145" s="1" t="n">
        <v>46185</v>
      </c>
      <c r="C145" s="1" t="n">
        <v>46193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26822-2026</t>
        </is>
      </c>
      <c r="B146" s="1" t="n">
        <v>46185</v>
      </c>
      <c r="C146" s="1" t="n">
        <v>46193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59522-2025</t>
        </is>
      </c>
      <c r="B147" s="1" t="n">
        <v>45989</v>
      </c>
      <c r="C147" s="1" t="n">
        <v>46193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26821-2026</t>
        </is>
      </c>
      <c r="B148" s="1" t="n">
        <v>46185</v>
      </c>
      <c r="C148" s="1" t="n">
        <v>46193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26824-2026</t>
        </is>
      </c>
      <c r="B149" s="1" t="n">
        <v>46185</v>
      </c>
      <c r="C149" s="1" t="n">
        <v>46193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26825-2026</t>
        </is>
      </c>
      <c r="B150" s="1" t="n">
        <v>46185</v>
      </c>
      <c r="C150" s="1" t="n">
        <v>46193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27120-2026</t>
        </is>
      </c>
      <c r="B151" s="1" t="n">
        <v>46188</v>
      </c>
      <c r="C151" s="1" t="n">
        <v>46193</v>
      </c>
      <c r="D151" t="inlineStr">
        <is>
          <t>ÖREBRO LÄN</t>
        </is>
      </c>
      <c r="E151" t="inlineStr">
        <is>
          <t>KARLSKOGA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21253-2026</t>
        </is>
      </c>
      <c r="B152" s="1" t="n">
        <v>46147</v>
      </c>
      <c r="C152" s="1" t="n">
        <v>46193</v>
      </c>
      <c r="D152" t="inlineStr">
        <is>
          <t>ÖREBRO LÄN</t>
        </is>
      </c>
      <c r="E152" t="inlineStr">
        <is>
          <t>KARLSKOGA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33011-2023</t>
        </is>
      </c>
      <c r="B153" s="1" t="n">
        <v>45125</v>
      </c>
      <c r="C153" s="1" t="n">
        <v>46193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60503-2025</t>
        </is>
      </c>
      <c r="B154" s="1" t="n">
        <v>45995</v>
      </c>
      <c r="C154" s="1" t="n">
        <v>46193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60508-2025</t>
        </is>
      </c>
      <c r="B155" s="1" t="n">
        <v>45995</v>
      </c>
      <c r="C155" s="1" t="n">
        <v>46193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60506-2025</t>
        </is>
      </c>
      <c r="B156" s="1" t="n">
        <v>45995</v>
      </c>
      <c r="C156" s="1" t="n">
        <v>46193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27392-2026</t>
        </is>
      </c>
      <c r="B157" s="1" t="n">
        <v>46189</v>
      </c>
      <c r="C157" s="1" t="n">
        <v>46193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48168-2024</t>
        </is>
      </c>
      <c r="B158" s="1" t="n">
        <v>45589</v>
      </c>
      <c r="C158" s="1" t="n">
        <v>46193</v>
      </c>
      <c r="D158" t="inlineStr">
        <is>
          <t>ÖREBRO LÄN</t>
        </is>
      </c>
      <c r="E158" t="inlineStr">
        <is>
          <t>KARLSKOGA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61788-2025</t>
        </is>
      </c>
      <c r="B159" s="1" t="n">
        <v>46002</v>
      </c>
      <c r="C159" s="1" t="n">
        <v>46193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21454-2026</t>
        </is>
      </c>
      <c r="B160" s="1" t="n">
        <v>46148</v>
      </c>
      <c r="C160" s="1" t="n">
        <v>46193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46193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10743-2023</t>
        </is>
      </c>
      <c r="B162" s="1" t="n">
        <v>44988</v>
      </c>
      <c r="C162" s="1" t="n">
        <v>46193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50611-2024</t>
        </is>
      </c>
      <c r="B163" s="1" t="n">
        <v>45601</v>
      </c>
      <c r="C163" s="1" t="n">
        <v>46193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21257-2026</t>
        </is>
      </c>
      <c r="B164" s="1" t="n">
        <v>46147</v>
      </c>
      <c r="C164" s="1" t="n">
        <v>46193</v>
      </c>
      <c r="D164" t="inlineStr">
        <is>
          <t>ÖREBRO LÄN</t>
        </is>
      </c>
      <c r="E164" t="inlineStr">
        <is>
          <t>KARLSKOGA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42802-2023</t>
        </is>
      </c>
      <c r="B165" s="1" t="n">
        <v>45182</v>
      </c>
      <c r="C165" s="1" t="n">
        <v>46193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52829-2024</t>
        </is>
      </c>
      <c r="B166" s="1" t="n">
        <v>45610</v>
      </c>
      <c r="C166" s="1" t="n">
        <v>46193</v>
      </c>
      <c r="D166" t="inlineStr">
        <is>
          <t>ÖREBRO LÄN</t>
        </is>
      </c>
      <c r="E166" t="inlineStr">
        <is>
          <t>KARLSKOGA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64066-2025</t>
        </is>
      </c>
      <c r="B167" s="1" t="n">
        <v>46013</v>
      </c>
      <c r="C167" s="1" t="n">
        <v>46193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56313-2024</t>
        </is>
      </c>
      <c r="B168" s="1" t="n">
        <v>45624</v>
      </c>
      <c r="C168" s="1" t="n">
        <v>46193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63628-2025</t>
        </is>
      </c>
      <c r="B169" s="1" t="n">
        <v>46014</v>
      </c>
      <c r="C169" s="1" t="n">
        <v>46193</v>
      </c>
      <c r="D169" t="inlineStr">
        <is>
          <t>ÖREBRO LÄN</t>
        </is>
      </c>
      <c r="E169" t="inlineStr">
        <is>
          <t>KARLSKOGA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46193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</v>
      </c>
      <c r="C171" s="1" t="n">
        <v>46193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46193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1788-2026</t>
        </is>
      </c>
      <c r="B173" s="1" t="n">
        <v>46034</v>
      </c>
      <c r="C173" s="1" t="n">
        <v>46193</v>
      </c>
      <c r="D173" t="inlineStr">
        <is>
          <t>ÖREBRO LÄN</t>
        </is>
      </c>
      <c r="E173" t="inlineStr">
        <is>
          <t>KARLSKOGA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</v>
      </c>
      <c r="C174" s="1" t="n">
        <v>46193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2911-2026</t>
        </is>
      </c>
      <c r="B175" s="1" t="n">
        <v>46038</v>
      </c>
      <c r="C175" s="1" t="n">
        <v>46193</v>
      </c>
      <c r="D175" t="inlineStr">
        <is>
          <t>ÖREBRO LÄN</t>
        </is>
      </c>
      <c r="E175" t="inlineStr">
        <is>
          <t>KARLSKOGA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46193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45664-2025</t>
        </is>
      </c>
      <c r="B177" s="1" t="n">
        <v>45923</v>
      </c>
      <c r="C177" s="1" t="n">
        <v>46193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47222-2024</t>
        </is>
      </c>
      <c r="B178" s="1" t="n">
        <v>45586</v>
      </c>
      <c r="C178" s="1" t="n">
        <v>46193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18955-2025</t>
        </is>
      </c>
      <c r="B179" s="1" t="n">
        <v>45764</v>
      </c>
      <c r="C179" s="1" t="n">
        <v>46193</v>
      </c>
      <c r="D179" t="inlineStr">
        <is>
          <t>ÖREBRO LÄN</t>
        </is>
      </c>
      <c r="E179" t="inlineStr">
        <is>
          <t>KARLSKOGA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22867-2022</t>
        </is>
      </c>
      <c r="B180" s="1" t="n">
        <v>44715</v>
      </c>
      <c r="C180" s="1" t="n">
        <v>46193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18978-2025</t>
        </is>
      </c>
      <c r="B181" s="1" t="n">
        <v>45764</v>
      </c>
      <c r="C181" s="1" t="n">
        <v>46193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4801-2024</t>
        </is>
      </c>
      <c r="B182" s="1" t="n">
        <v>45328</v>
      </c>
      <c r="C182" s="1" t="n">
        <v>46193</v>
      </c>
      <c r="D182" t="inlineStr">
        <is>
          <t>ÖREBRO LÄN</t>
        </is>
      </c>
      <c r="E182" t="inlineStr">
        <is>
          <t>KARLSKOGA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4802-2024</t>
        </is>
      </c>
      <c r="B183" s="1" t="n">
        <v>45328</v>
      </c>
      <c r="C183" s="1" t="n">
        <v>46193</v>
      </c>
      <c r="D183" t="inlineStr">
        <is>
          <t>ÖREBRO LÄN</t>
        </is>
      </c>
      <c r="E183" t="inlineStr">
        <is>
          <t>KARLSKOGA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30961-2022</t>
        </is>
      </c>
      <c r="B184" s="1" t="n">
        <v>44768</v>
      </c>
      <c r="C184" s="1" t="n">
        <v>46193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55191-2023</t>
        </is>
      </c>
      <c r="B185" s="1" t="n">
        <v>45237</v>
      </c>
      <c r="C185" s="1" t="n">
        <v>46193</v>
      </c>
      <c r="D185" t="inlineStr">
        <is>
          <t>ÖREBRO LÄN</t>
        </is>
      </c>
      <c r="E185" t="inlineStr">
        <is>
          <t>KARLSKOGA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13496-2025</t>
        </is>
      </c>
      <c r="B186" s="1" t="n">
        <v>45736</v>
      </c>
      <c r="C186" s="1" t="n">
        <v>46193</v>
      </c>
      <c r="D186" t="inlineStr">
        <is>
          <t>ÖREBRO LÄN</t>
        </is>
      </c>
      <c r="E186" t="inlineStr">
        <is>
          <t>KARLSKOGA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11974-2025</t>
        </is>
      </c>
      <c r="B187" s="1" t="n">
        <v>45728</v>
      </c>
      <c r="C187" s="1" t="n">
        <v>46193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9917-2026</t>
        </is>
      </c>
      <c r="B188" s="1" t="n">
        <v>46073</v>
      </c>
      <c r="C188" s="1" t="n">
        <v>46193</v>
      </c>
      <c r="D188" t="inlineStr">
        <is>
          <t>ÖREBRO LÄN</t>
        </is>
      </c>
      <c r="E188" t="inlineStr">
        <is>
          <t>KARLSKOGA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63863-2023</t>
        </is>
      </c>
      <c r="B189" s="1" t="n">
        <v>45278</v>
      </c>
      <c r="C189" s="1" t="n">
        <v>46193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1309-2024</t>
        </is>
      </c>
      <c r="B190" s="1" t="n">
        <v>45303</v>
      </c>
      <c r="C190" s="1" t="n">
        <v>46193</v>
      </c>
      <c r="D190" t="inlineStr">
        <is>
          <t>ÖREBRO LÄN</t>
        </is>
      </c>
      <c r="E190" t="inlineStr">
        <is>
          <t>KARLSKOGA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52826-2024</t>
        </is>
      </c>
      <c r="B191" s="1" t="n">
        <v>45610</v>
      </c>
      <c r="C191" s="1" t="n">
        <v>46193</v>
      </c>
      <c r="D191" t="inlineStr">
        <is>
          <t>ÖREBRO LÄN</t>
        </is>
      </c>
      <c r="E191" t="inlineStr">
        <is>
          <t>KARLSKOGA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12693-2026</t>
        </is>
      </c>
      <c r="B192" s="1" t="n">
        <v>46091</v>
      </c>
      <c r="C192" s="1" t="n">
        <v>46193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13473-2026</t>
        </is>
      </c>
      <c r="B193" s="1" t="n">
        <v>46094</v>
      </c>
      <c r="C193" s="1" t="n">
        <v>46193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14580-2026</t>
        </is>
      </c>
      <c r="B194" s="1" t="n">
        <v>46101</v>
      </c>
      <c r="C194" s="1" t="n">
        <v>46193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12897-2026</t>
        </is>
      </c>
      <c r="B195" s="1" t="n">
        <v>46092</v>
      </c>
      <c r="C195" s="1" t="n">
        <v>46193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16782-2026</t>
        </is>
      </c>
      <c r="B196" s="1" t="n">
        <v>46113</v>
      </c>
      <c r="C196" s="1" t="n">
        <v>46193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16783-2026</t>
        </is>
      </c>
      <c r="B197" s="1" t="n">
        <v>46113</v>
      </c>
      <c r="C197" s="1" t="n">
        <v>46193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16787-2026</t>
        </is>
      </c>
      <c r="B198" s="1" t="n">
        <v>46113</v>
      </c>
      <c r="C198" s="1" t="n">
        <v>46193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17261-2026</t>
        </is>
      </c>
      <c r="B199" s="1" t="n">
        <v>46119</v>
      </c>
      <c r="C199" s="1" t="n">
        <v>46193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17299-2026</t>
        </is>
      </c>
      <c r="B200" s="1" t="n">
        <v>46119</v>
      </c>
      <c r="C200" s="1" t="n">
        <v>46193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15060-2026</t>
        </is>
      </c>
      <c r="B201" s="1" t="n">
        <v>46104</v>
      </c>
      <c r="C201" s="1" t="n">
        <v>46193</v>
      </c>
      <c r="D201" t="inlineStr">
        <is>
          <t>ÖREBRO LÄN</t>
        </is>
      </c>
      <c r="E201" t="inlineStr">
        <is>
          <t>KARLSKOGA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15062-2026</t>
        </is>
      </c>
      <c r="B202" s="1" t="n">
        <v>46104</v>
      </c>
      <c r="C202" s="1" t="n">
        <v>46193</v>
      </c>
      <c r="D202" t="inlineStr">
        <is>
          <t>ÖREBRO LÄN</t>
        </is>
      </c>
      <c r="E202" t="inlineStr">
        <is>
          <t>KARLSKOGA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15058-2026</t>
        </is>
      </c>
      <c r="B203" s="1" t="n">
        <v>46104</v>
      </c>
      <c r="C203" s="1" t="n">
        <v>46193</v>
      </c>
      <c r="D203" t="inlineStr">
        <is>
          <t>ÖREBRO LÄN</t>
        </is>
      </c>
      <c r="E203" t="inlineStr">
        <is>
          <t>KARLSKOGA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15061-2026</t>
        </is>
      </c>
      <c r="B204" s="1" t="n">
        <v>46104</v>
      </c>
      <c r="C204" s="1" t="n">
        <v>46193</v>
      </c>
      <c r="D204" t="inlineStr">
        <is>
          <t>ÖREBRO LÄN</t>
        </is>
      </c>
      <c r="E204" t="inlineStr">
        <is>
          <t>KARLSKOGA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17734-2026</t>
        </is>
      </c>
      <c r="B205" s="1" t="n">
        <v>46122</v>
      </c>
      <c r="C205" s="1" t="n">
        <v>46193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17910-2026</t>
        </is>
      </c>
      <c r="B206" s="1" t="n">
        <v>46122</v>
      </c>
      <c r="C206" s="1" t="n">
        <v>46193</v>
      </c>
      <c r="D206" t="inlineStr">
        <is>
          <t>ÖREBRO LÄN</t>
        </is>
      </c>
      <c r="E206" t="inlineStr">
        <is>
          <t>KARLSKOGA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23754-2026</t>
        </is>
      </c>
      <c r="B207" s="1" t="n">
        <v>46164</v>
      </c>
      <c r="C207" s="1" t="n">
        <v>46193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19011-2026</t>
        </is>
      </c>
      <c r="B208" s="1" t="n">
        <v>46130</v>
      </c>
      <c r="C208" s="1" t="n">
        <v>46193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24666-2026</t>
        </is>
      </c>
      <c r="B209" s="1" t="n">
        <v>46171</v>
      </c>
      <c r="C209" s="1" t="n">
        <v>46193</v>
      </c>
      <c r="D209" t="inlineStr">
        <is>
          <t>ÖREBRO LÄN</t>
        </is>
      </c>
      <c r="E209" t="inlineStr">
        <is>
          <t>KARLSKOGA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19010-2026</t>
        </is>
      </c>
      <c r="B210" s="1" t="n">
        <v>46130</v>
      </c>
      <c r="C210" s="1" t="n">
        <v>46193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19009-2026</t>
        </is>
      </c>
      <c r="B211" s="1" t="n">
        <v>46130</v>
      </c>
      <c r="C211" s="1" t="n">
        <v>46193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19008-2026</t>
        </is>
      </c>
      <c r="B212" s="1" t="n">
        <v>46130</v>
      </c>
      <c r="C212" s="1" t="n">
        <v>46193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25093-2026</t>
        </is>
      </c>
      <c r="B213" s="1" t="n">
        <v>46175</v>
      </c>
      <c r="C213" s="1" t="n">
        <v>46193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19663-2026</t>
        </is>
      </c>
      <c r="B214" s="1" t="n">
        <v>46134</v>
      </c>
      <c r="C214" s="1" t="n">
        <v>46193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25092-2026</t>
        </is>
      </c>
      <c r="B215" s="1" t="n">
        <v>46175</v>
      </c>
      <c r="C215" s="1" t="n">
        <v>46193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25098-2026</t>
        </is>
      </c>
      <c r="B216" s="1" t="n">
        <v>46175</v>
      </c>
      <c r="C216" s="1" t="n">
        <v>46193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6835-2025</t>
        </is>
      </c>
      <c r="B217" s="1" t="n">
        <v>45700</v>
      </c>
      <c r="C217" s="1" t="n">
        <v>46193</v>
      </c>
      <c r="D217" t="inlineStr">
        <is>
          <t>ÖREBRO LÄN</t>
        </is>
      </c>
      <c r="E217" t="inlineStr">
        <is>
          <t>KARLSKOGA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26653-2025</t>
        </is>
      </c>
      <c r="B218" s="1" t="n">
        <v>45810</v>
      </c>
      <c r="C218" s="1" t="n">
        <v>46193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</v>
      </c>
      <c r="C219" s="1" t="n">
        <v>46193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23717-2025</t>
        </is>
      </c>
      <c r="B220" s="1" t="n">
        <v>45793</v>
      </c>
      <c r="C220" s="1" t="n">
        <v>46193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2026-06-20T00:47:29Z</dcterms:created>
  <dcterms:modified xmlns:dcterms="http://purl.org/dc/terms/" xmlns:xsi="http://www.w3.org/2001/XMLSchema-instance" xsi:type="dcterms:W3CDTF">2026-06-20T00:47:30Z</dcterms:modified>
</cp:coreProperties>
</file>