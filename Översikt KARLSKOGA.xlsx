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2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64125-2021</t>
        </is>
      </c>
      <c r="B2" s="1" t="n">
        <v>44510</v>
      </c>
      <c r="C2" s="1" t="n">
        <v>45566</v>
      </c>
      <c r="D2" t="inlineStr">
        <is>
          <t>ÖREBRO LÄN</t>
        </is>
      </c>
      <c r="E2" t="inlineStr">
        <is>
          <t>KARLSKOGA</t>
        </is>
      </c>
      <c r="G2" t="n">
        <v>6.5</v>
      </c>
      <c r="H2" t="n">
        <v>1</v>
      </c>
      <c r="I2" t="n">
        <v>10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14</v>
      </c>
      <c r="R2" s="2" t="inlineStr">
        <is>
          <t>Gäckporing
Motaggsvamp
Stubbtrådmossa
Ullticka
Bronshjon
Flagellkvastmossa
Gulnål
Kornig nållav
Nordisk klipptuss
Rostfläck
Smal svampklubba
Trind spretmossa
Vedticka
Zontaggsvamp</t>
        </is>
      </c>
      <c r="S2">
        <f>HYPERLINK("https://klasma.github.io/Logging_1883/artfynd/A 64125-2021 artfynd.xlsx", "A 64125-2021")</f>
        <v/>
      </c>
      <c r="T2">
        <f>HYPERLINK("https://klasma.github.io/Logging_1883/kartor/A 64125-2021 karta.png", "A 64125-2021")</f>
        <v/>
      </c>
      <c r="V2">
        <f>HYPERLINK("https://klasma.github.io/Logging_1883/klagomål/A 64125-2021 FSC-klagomål.docx", "A 64125-2021")</f>
        <v/>
      </c>
      <c r="W2">
        <f>HYPERLINK("https://klasma.github.io/Logging_1883/klagomålsmail/A 64125-2021 FSC-klagomål mail.docx", "A 64125-2021")</f>
        <v/>
      </c>
      <c r="X2">
        <f>HYPERLINK("https://klasma.github.io/Logging_1883/tillsyn/A 64125-2021 tillsynsbegäran.docx", "A 64125-2021")</f>
        <v/>
      </c>
      <c r="Y2">
        <f>HYPERLINK("https://klasma.github.io/Logging_1883/tillsynsmail/A 64125-2021 tillsynsbegäran mail.docx", "A 64125-2021")</f>
        <v/>
      </c>
    </row>
    <row r="3" ht="15" customHeight="1">
      <c r="A3" t="inlineStr">
        <is>
          <t>A 60085-2021</t>
        </is>
      </c>
      <c r="B3" s="1" t="n">
        <v>44495</v>
      </c>
      <c r="C3" s="1" t="n">
        <v>45566</v>
      </c>
      <c r="D3" t="inlineStr">
        <is>
          <t>ÖREBRO LÄN</t>
        </is>
      </c>
      <c r="E3" t="inlineStr">
        <is>
          <t>KARLSKOGA</t>
        </is>
      </c>
      <c r="G3" t="n">
        <v>3.6</v>
      </c>
      <c r="H3" t="n">
        <v>0</v>
      </c>
      <c r="I3" t="n">
        <v>3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4</v>
      </c>
      <c r="R3" s="2" t="inlineStr">
        <is>
          <t>Citronfingersvamp
Mörk husmossa
Svart trolldruva
Västlig hakmossa</t>
        </is>
      </c>
      <c r="S3">
        <f>HYPERLINK("https://klasma.github.io/Logging_1883/artfynd/A 60085-2021 artfynd.xlsx", "A 60085-2021")</f>
        <v/>
      </c>
      <c r="T3">
        <f>HYPERLINK("https://klasma.github.io/Logging_1883/kartor/A 60085-2021 karta.png", "A 60085-2021")</f>
        <v/>
      </c>
      <c r="V3">
        <f>HYPERLINK("https://klasma.github.io/Logging_1883/klagomål/A 60085-2021 FSC-klagomål.docx", "A 60085-2021")</f>
        <v/>
      </c>
      <c r="W3">
        <f>HYPERLINK("https://klasma.github.io/Logging_1883/klagomålsmail/A 60085-2021 FSC-klagomål mail.docx", "A 60085-2021")</f>
        <v/>
      </c>
      <c r="X3">
        <f>HYPERLINK("https://klasma.github.io/Logging_1883/tillsyn/A 60085-2021 tillsynsbegäran.docx", "A 60085-2021")</f>
        <v/>
      </c>
      <c r="Y3">
        <f>HYPERLINK("https://klasma.github.io/Logging_1883/tillsynsmail/A 60085-2021 tillsynsbegäran mail.docx", "A 60085-2021")</f>
        <v/>
      </c>
    </row>
    <row r="4" ht="15" customHeight="1">
      <c r="A4" t="inlineStr">
        <is>
          <t>A 61334-2020</t>
        </is>
      </c>
      <c r="B4" s="1" t="n">
        <v>44155</v>
      </c>
      <c r="C4" s="1" t="n">
        <v>45566</v>
      </c>
      <c r="D4" t="inlineStr">
        <is>
          <t>ÖREBRO LÄN</t>
        </is>
      </c>
      <c r="E4" t="inlineStr">
        <is>
          <t>KARLSKOGA</t>
        </is>
      </c>
      <c r="F4" t="inlineStr">
        <is>
          <t>Sveaskog</t>
        </is>
      </c>
      <c r="G4" t="n">
        <v>1.7</v>
      </c>
      <c r="H4" t="n">
        <v>0</v>
      </c>
      <c r="I4" t="n">
        <v>0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Sälgbrokmal
Skogsklocka</t>
        </is>
      </c>
      <c r="S4">
        <f>HYPERLINK("https://klasma.github.io/Logging_1883/artfynd/A 61334-2020 artfynd.xlsx", "A 61334-2020")</f>
        <v/>
      </c>
      <c r="T4">
        <f>HYPERLINK("https://klasma.github.io/Logging_1883/kartor/A 61334-2020 karta.png", "A 61334-2020")</f>
        <v/>
      </c>
      <c r="V4">
        <f>HYPERLINK("https://klasma.github.io/Logging_1883/klagomål/A 61334-2020 FSC-klagomål.docx", "A 61334-2020")</f>
        <v/>
      </c>
      <c r="W4">
        <f>HYPERLINK("https://klasma.github.io/Logging_1883/klagomålsmail/A 61334-2020 FSC-klagomål mail.docx", "A 61334-2020")</f>
        <v/>
      </c>
      <c r="X4">
        <f>HYPERLINK("https://klasma.github.io/Logging_1883/tillsyn/A 61334-2020 tillsynsbegäran.docx", "A 61334-2020")</f>
        <v/>
      </c>
      <c r="Y4">
        <f>HYPERLINK("https://klasma.github.io/Logging_1883/tillsynsmail/A 61334-2020 tillsynsbegäran mail.docx", "A 61334-2020")</f>
        <v/>
      </c>
    </row>
    <row r="5" ht="15" customHeight="1">
      <c r="A5" t="inlineStr">
        <is>
          <t>A 44988-2020</t>
        </is>
      </c>
      <c r="B5" s="1" t="n">
        <v>44088</v>
      </c>
      <c r="C5" s="1" t="n">
        <v>45566</v>
      </c>
      <c r="D5" t="inlineStr">
        <is>
          <t>ÖREBRO LÄN</t>
        </is>
      </c>
      <c r="E5" t="inlineStr">
        <is>
          <t>KARLSKOGA</t>
        </is>
      </c>
      <c r="G5" t="n">
        <v>2.3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Långfibbla</t>
        </is>
      </c>
      <c r="S5">
        <f>HYPERLINK("https://klasma.github.io/Logging_1883/artfynd/A 44988-2020 artfynd.xlsx", "A 44988-2020")</f>
        <v/>
      </c>
      <c r="T5">
        <f>HYPERLINK("https://klasma.github.io/Logging_1883/kartor/A 44988-2020 karta.png", "A 44988-2020")</f>
        <v/>
      </c>
      <c r="V5">
        <f>HYPERLINK("https://klasma.github.io/Logging_1883/klagomål/A 44988-2020 FSC-klagomål.docx", "A 44988-2020")</f>
        <v/>
      </c>
      <c r="W5">
        <f>HYPERLINK("https://klasma.github.io/Logging_1883/klagomålsmail/A 44988-2020 FSC-klagomål mail.docx", "A 44988-2020")</f>
        <v/>
      </c>
      <c r="X5">
        <f>HYPERLINK("https://klasma.github.io/Logging_1883/tillsyn/A 44988-2020 tillsynsbegäran.docx", "A 44988-2020")</f>
        <v/>
      </c>
      <c r="Y5">
        <f>HYPERLINK("https://klasma.github.io/Logging_1883/tillsynsmail/A 44988-2020 tillsynsbegäran mail.docx", "A 44988-2020")</f>
        <v/>
      </c>
    </row>
    <row r="6" ht="15" customHeight="1">
      <c r="A6" t="inlineStr">
        <is>
          <t>A 57386-2020</t>
        </is>
      </c>
      <c r="B6" s="1" t="n">
        <v>44140</v>
      </c>
      <c r="C6" s="1" t="n">
        <v>45566</v>
      </c>
      <c r="D6" t="inlineStr">
        <is>
          <t>ÖREBRO LÄN</t>
        </is>
      </c>
      <c r="E6" t="inlineStr">
        <is>
          <t>KARLSKOGA</t>
        </is>
      </c>
      <c r="F6" t="inlineStr">
        <is>
          <t>Sveaskog</t>
        </is>
      </c>
      <c r="G6" t="n">
        <v>11.6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Bivråk</t>
        </is>
      </c>
      <c r="S6">
        <f>HYPERLINK("https://klasma.github.io/Logging_1883/artfynd/A 57386-2020 artfynd.xlsx", "A 57386-2020")</f>
        <v/>
      </c>
      <c r="T6">
        <f>HYPERLINK("https://klasma.github.io/Logging_1883/kartor/A 57386-2020 karta.png", "A 57386-2020")</f>
        <v/>
      </c>
      <c r="V6">
        <f>HYPERLINK("https://klasma.github.io/Logging_1883/klagomål/A 57386-2020 FSC-klagomål.docx", "A 57386-2020")</f>
        <v/>
      </c>
      <c r="W6">
        <f>HYPERLINK("https://klasma.github.io/Logging_1883/klagomålsmail/A 57386-2020 FSC-klagomål mail.docx", "A 57386-2020")</f>
        <v/>
      </c>
      <c r="X6">
        <f>HYPERLINK("https://klasma.github.io/Logging_1883/tillsyn/A 57386-2020 tillsynsbegäran.docx", "A 57386-2020")</f>
        <v/>
      </c>
      <c r="Y6">
        <f>HYPERLINK("https://klasma.github.io/Logging_1883/tillsynsmail/A 57386-2020 tillsynsbegäran mail.docx", "A 57386-2020")</f>
        <v/>
      </c>
      <c r="Z6">
        <f>HYPERLINK("https://klasma.github.io/Logging_1883/fåglar/A 57386-2020 prioriterade fågelarter.docx", "A 57386-2020")</f>
        <v/>
      </c>
    </row>
    <row r="7" ht="15" customHeight="1">
      <c r="A7" t="inlineStr">
        <is>
          <t>A 58022-2020</t>
        </is>
      </c>
      <c r="B7" s="1" t="n">
        <v>44144</v>
      </c>
      <c r="C7" s="1" t="n">
        <v>45566</v>
      </c>
      <c r="D7" t="inlineStr">
        <is>
          <t>ÖREBRO LÄN</t>
        </is>
      </c>
      <c r="E7" t="inlineStr">
        <is>
          <t>KARLSKOGA</t>
        </is>
      </c>
      <c r="F7" t="inlineStr">
        <is>
          <t>Sveaskog</t>
        </is>
      </c>
      <c r="G7" t="n">
        <v>8.6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Fläcknycklar</t>
        </is>
      </c>
      <c r="S7">
        <f>HYPERLINK("https://klasma.github.io/Logging_1883/artfynd/A 58022-2020 artfynd.xlsx", "A 58022-2020")</f>
        <v/>
      </c>
      <c r="T7">
        <f>HYPERLINK("https://klasma.github.io/Logging_1883/kartor/A 58022-2020 karta.png", "A 58022-2020")</f>
        <v/>
      </c>
      <c r="V7">
        <f>HYPERLINK("https://klasma.github.io/Logging_1883/klagomål/A 58022-2020 FSC-klagomål.docx", "A 58022-2020")</f>
        <v/>
      </c>
      <c r="W7">
        <f>HYPERLINK("https://klasma.github.io/Logging_1883/klagomålsmail/A 58022-2020 FSC-klagomål mail.docx", "A 58022-2020")</f>
        <v/>
      </c>
      <c r="X7">
        <f>HYPERLINK("https://klasma.github.io/Logging_1883/tillsyn/A 58022-2020 tillsynsbegäran.docx", "A 58022-2020")</f>
        <v/>
      </c>
      <c r="Y7">
        <f>HYPERLINK("https://klasma.github.io/Logging_1883/tillsynsmail/A 58022-2020 tillsynsbegäran mail.docx", "A 58022-2020")</f>
        <v/>
      </c>
    </row>
    <row r="8" ht="15" customHeight="1">
      <c r="A8" t="inlineStr">
        <is>
          <t>A 27721-2021</t>
        </is>
      </c>
      <c r="B8" s="1" t="n">
        <v>44354</v>
      </c>
      <c r="C8" s="1" t="n">
        <v>45566</v>
      </c>
      <c r="D8" t="inlineStr">
        <is>
          <t>ÖREBRO LÄN</t>
        </is>
      </c>
      <c r="E8" t="inlineStr">
        <is>
          <t>KARLSKOGA</t>
        </is>
      </c>
      <c r="F8" t="inlineStr">
        <is>
          <t>Sveaskog</t>
        </is>
      </c>
      <c r="G8" t="n">
        <v>1.9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Sexfläckig bastardsvärmare</t>
        </is>
      </c>
      <c r="S8">
        <f>HYPERLINK("https://klasma.github.io/Logging_1883/artfynd/A 27721-2021 artfynd.xlsx", "A 27721-2021")</f>
        <v/>
      </c>
      <c r="T8">
        <f>HYPERLINK("https://klasma.github.io/Logging_1883/kartor/A 27721-2021 karta.png", "A 27721-2021")</f>
        <v/>
      </c>
      <c r="V8">
        <f>HYPERLINK("https://klasma.github.io/Logging_1883/klagomål/A 27721-2021 FSC-klagomål.docx", "A 27721-2021")</f>
        <v/>
      </c>
      <c r="W8">
        <f>HYPERLINK("https://klasma.github.io/Logging_1883/klagomålsmail/A 27721-2021 FSC-klagomål mail.docx", "A 27721-2021")</f>
        <v/>
      </c>
      <c r="X8">
        <f>HYPERLINK("https://klasma.github.io/Logging_1883/tillsyn/A 27721-2021 tillsynsbegäran.docx", "A 27721-2021")</f>
        <v/>
      </c>
      <c r="Y8">
        <f>HYPERLINK("https://klasma.github.io/Logging_1883/tillsynsmail/A 27721-2021 tillsynsbegäran mail.docx", "A 27721-2021")</f>
        <v/>
      </c>
    </row>
    <row r="9" ht="15" customHeight="1">
      <c r="A9" t="inlineStr">
        <is>
          <t>A 32269-2022</t>
        </is>
      </c>
      <c r="B9" s="1" t="n">
        <v>44781</v>
      </c>
      <c r="C9" s="1" t="n">
        <v>45566</v>
      </c>
      <c r="D9" t="inlineStr">
        <is>
          <t>ÖREBRO LÄN</t>
        </is>
      </c>
      <c r="E9" t="inlineStr">
        <is>
          <t>KARLSKOGA</t>
        </is>
      </c>
      <c r="F9" t="inlineStr">
        <is>
          <t>Kyrkan</t>
        </is>
      </c>
      <c r="G9" t="n">
        <v>6.2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Nordfladdermus</t>
        </is>
      </c>
      <c r="S9">
        <f>HYPERLINK("https://klasma.github.io/Logging_1883/artfynd/A 32269-2022 artfynd.xlsx", "A 32269-2022")</f>
        <v/>
      </c>
      <c r="T9">
        <f>HYPERLINK("https://klasma.github.io/Logging_1883/kartor/A 32269-2022 karta.png", "A 32269-2022")</f>
        <v/>
      </c>
      <c r="V9">
        <f>HYPERLINK("https://klasma.github.io/Logging_1883/klagomål/A 32269-2022 FSC-klagomål.docx", "A 32269-2022")</f>
        <v/>
      </c>
      <c r="W9">
        <f>HYPERLINK("https://klasma.github.io/Logging_1883/klagomålsmail/A 32269-2022 FSC-klagomål mail.docx", "A 32269-2022")</f>
        <v/>
      </c>
      <c r="X9">
        <f>HYPERLINK("https://klasma.github.io/Logging_1883/tillsyn/A 32269-2022 tillsynsbegäran.docx", "A 32269-2022")</f>
        <v/>
      </c>
      <c r="Y9">
        <f>HYPERLINK("https://klasma.github.io/Logging_1883/tillsynsmail/A 32269-2022 tillsynsbegäran mail.docx", "A 32269-2022")</f>
        <v/>
      </c>
    </row>
    <row r="10" ht="15" customHeight="1">
      <c r="A10" t="inlineStr">
        <is>
          <t>A 5814-2023</t>
        </is>
      </c>
      <c r="B10" s="1" t="n">
        <v>44963</v>
      </c>
      <c r="C10" s="1" t="n">
        <v>45566</v>
      </c>
      <c r="D10" t="inlineStr">
        <is>
          <t>ÖREBRO LÄN</t>
        </is>
      </c>
      <c r="E10" t="inlineStr">
        <is>
          <t>KARLSKOGA</t>
        </is>
      </c>
      <c r="F10" t="inlineStr">
        <is>
          <t>Kyrkan</t>
        </is>
      </c>
      <c r="G10" t="n">
        <v>4.9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Svart trolldruva</t>
        </is>
      </c>
      <c r="S10">
        <f>HYPERLINK("https://klasma.github.io/Logging_1883/artfynd/A 5814-2023 artfynd.xlsx", "A 5814-2023")</f>
        <v/>
      </c>
      <c r="T10">
        <f>HYPERLINK("https://klasma.github.io/Logging_1883/kartor/A 5814-2023 karta.png", "A 5814-2023")</f>
        <v/>
      </c>
      <c r="V10">
        <f>HYPERLINK("https://klasma.github.io/Logging_1883/klagomål/A 5814-2023 FSC-klagomål.docx", "A 5814-2023")</f>
        <v/>
      </c>
      <c r="W10">
        <f>HYPERLINK("https://klasma.github.io/Logging_1883/klagomålsmail/A 5814-2023 FSC-klagomål mail.docx", "A 5814-2023")</f>
        <v/>
      </c>
      <c r="X10">
        <f>HYPERLINK("https://klasma.github.io/Logging_1883/tillsyn/A 5814-2023 tillsynsbegäran.docx", "A 5814-2023")</f>
        <v/>
      </c>
      <c r="Y10">
        <f>HYPERLINK("https://klasma.github.io/Logging_1883/tillsynsmail/A 5814-2023 tillsynsbegäran mail.docx", "A 5814-2023")</f>
        <v/>
      </c>
    </row>
    <row r="11" ht="15" customHeight="1">
      <c r="A11" t="inlineStr">
        <is>
          <t>A 53626-2023</t>
        </is>
      </c>
      <c r="B11" s="1" t="n">
        <v>45230</v>
      </c>
      <c r="C11" s="1" t="n">
        <v>45566</v>
      </c>
      <c r="D11" t="inlineStr">
        <is>
          <t>ÖREBRO LÄN</t>
        </is>
      </c>
      <c r="E11" t="inlineStr">
        <is>
          <t>KARLSKOGA</t>
        </is>
      </c>
      <c r="G11" t="n">
        <v>7.5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Storgröe</t>
        </is>
      </c>
      <c r="S11">
        <f>HYPERLINK("https://klasma.github.io/Logging_1883/artfynd/A 53626-2023 artfynd.xlsx", "A 53626-2023")</f>
        <v/>
      </c>
      <c r="T11">
        <f>HYPERLINK("https://klasma.github.io/Logging_1883/kartor/A 53626-2023 karta.png", "A 53626-2023")</f>
        <v/>
      </c>
      <c r="V11">
        <f>HYPERLINK("https://klasma.github.io/Logging_1883/klagomål/A 53626-2023 FSC-klagomål.docx", "A 53626-2023")</f>
        <v/>
      </c>
      <c r="W11">
        <f>HYPERLINK("https://klasma.github.io/Logging_1883/klagomålsmail/A 53626-2023 FSC-klagomål mail.docx", "A 53626-2023")</f>
        <v/>
      </c>
      <c r="X11">
        <f>HYPERLINK("https://klasma.github.io/Logging_1883/tillsyn/A 53626-2023 tillsynsbegäran.docx", "A 53626-2023")</f>
        <v/>
      </c>
      <c r="Y11">
        <f>HYPERLINK("https://klasma.github.io/Logging_1883/tillsynsmail/A 53626-2023 tillsynsbegäran mail.docx", "A 53626-2023")</f>
        <v/>
      </c>
    </row>
    <row r="12" ht="15" customHeight="1">
      <c r="A12" t="inlineStr">
        <is>
          <t>A 22752-2024</t>
        </is>
      </c>
      <c r="B12" s="1" t="n">
        <v>45448</v>
      </c>
      <c r="C12" s="1" t="n">
        <v>45566</v>
      </c>
      <c r="D12" t="inlineStr">
        <is>
          <t>ÖREBRO LÄN</t>
        </is>
      </c>
      <c r="E12" t="inlineStr">
        <is>
          <t>KARLSKOGA</t>
        </is>
      </c>
      <c r="F12" t="inlineStr">
        <is>
          <t>Sveaskog</t>
        </is>
      </c>
      <c r="G12" t="n">
        <v>5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Tretåig hackspett</t>
        </is>
      </c>
      <c r="S12">
        <f>HYPERLINK("https://klasma.github.io/Logging_1883/artfynd/A 22752-2024 artfynd.xlsx", "A 22752-2024")</f>
        <v/>
      </c>
      <c r="T12">
        <f>HYPERLINK("https://klasma.github.io/Logging_1883/kartor/A 22752-2024 karta.png", "A 22752-2024")</f>
        <v/>
      </c>
      <c r="V12">
        <f>HYPERLINK("https://klasma.github.io/Logging_1883/klagomål/A 22752-2024 FSC-klagomål.docx", "A 22752-2024")</f>
        <v/>
      </c>
      <c r="W12">
        <f>HYPERLINK("https://klasma.github.io/Logging_1883/klagomålsmail/A 22752-2024 FSC-klagomål mail.docx", "A 22752-2024")</f>
        <v/>
      </c>
      <c r="X12">
        <f>HYPERLINK("https://klasma.github.io/Logging_1883/tillsyn/A 22752-2024 tillsynsbegäran.docx", "A 22752-2024")</f>
        <v/>
      </c>
      <c r="Y12">
        <f>HYPERLINK("https://klasma.github.io/Logging_1883/tillsynsmail/A 22752-2024 tillsynsbegäran mail.docx", "A 22752-2024")</f>
        <v/>
      </c>
      <c r="Z12">
        <f>HYPERLINK("https://klasma.github.io/Logging_1883/fåglar/A 22752-2024 prioriterade fågelarter.docx", "A 22752-2024")</f>
        <v/>
      </c>
    </row>
    <row r="13" ht="15" customHeight="1">
      <c r="A13" t="inlineStr">
        <is>
          <t>A 18382-2019</t>
        </is>
      </c>
      <c r="B13" s="1" t="n">
        <v>43559</v>
      </c>
      <c r="C13" s="1" t="n">
        <v>45566</v>
      </c>
      <c r="D13" t="inlineStr">
        <is>
          <t>ÖREBRO LÄN</t>
        </is>
      </c>
      <c r="E13" t="inlineStr">
        <is>
          <t>KARLSKOGA</t>
        </is>
      </c>
      <c r="F13" t="inlineStr">
        <is>
          <t>Sveaskog</t>
        </is>
      </c>
      <c r="G13" t="n">
        <v>0.8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18461-2019</t>
        </is>
      </c>
      <c r="B14" s="1" t="n">
        <v>43559</v>
      </c>
      <c r="C14" s="1" t="n">
        <v>45566</v>
      </c>
      <c r="D14" t="inlineStr">
        <is>
          <t>ÖREBRO LÄN</t>
        </is>
      </c>
      <c r="E14" t="inlineStr">
        <is>
          <t>KARLSKOGA</t>
        </is>
      </c>
      <c r="F14" t="inlineStr">
        <is>
          <t>Sveaskog</t>
        </is>
      </c>
      <c r="G14" t="n">
        <v>3.4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19723-2019</t>
        </is>
      </c>
      <c r="B15" s="1" t="n">
        <v>43566</v>
      </c>
      <c r="C15" s="1" t="n">
        <v>45566</v>
      </c>
      <c r="D15" t="inlineStr">
        <is>
          <t>ÖREBRO LÄN</t>
        </is>
      </c>
      <c r="E15" t="inlineStr">
        <is>
          <t>KARLSKOGA</t>
        </is>
      </c>
      <c r="G15" t="n">
        <v>5.5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20547-2019</t>
        </is>
      </c>
      <c r="B16" s="1" t="n">
        <v>43572</v>
      </c>
      <c r="C16" s="1" t="n">
        <v>45566</v>
      </c>
      <c r="D16" t="inlineStr">
        <is>
          <t>ÖREBRO LÄN</t>
        </is>
      </c>
      <c r="E16" t="inlineStr">
        <is>
          <t>KARLSKOGA</t>
        </is>
      </c>
      <c r="G16" t="n">
        <v>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22760-2019</t>
        </is>
      </c>
      <c r="B17" s="1" t="n">
        <v>43587</v>
      </c>
      <c r="C17" s="1" t="n">
        <v>45566</v>
      </c>
      <c r="D17" t="inlineStr">
        <is>
          <t>ÖREBRO LÄN</t>
        </is>
      </c>
      <c r="E17" t="inlineStr">
        <is>
          <t>KARLSKOGA</t>
        </is>
      </c>
      <c r="F17" t="inlineStr">
        <is>
          <t>Kyrkan</t>
        </is>
      </c>
      <c r="G17" t="n">
        <v>1.3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24090-2019</t>
        </is>
      </c>
      <c r="B18" s="1" t="n">
        <v>43598</v>
      </c>
      <c r="C18" s="1" t="n">
        <v>45566</v>
      </c>
      <c r="D18" t="inlineStr">
        <is>
          <t>ÖREBRO LÄN</t>
        </is>
      </c>
      <c r="E18" t="inlineStr">
        <is>
          <t>KARLSKOGA</t>
        </is>
      </c>
      <c r="F18" t="inlineStr">
        <is>
          <t>Sveaskog</t>
        </is>
      </c>
      <c r="G18" t="n">
        <v>1.3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25077-2019</t>
        </is>
      </c>
      <c r="B19" s="1" t="n">
        <v>43601</v>
      </c>
      <c r="C19" s="1" t="n">
        <v>45566</v>
      </c>
      <c r="D19" t="inlineStr">
        <is>
          <t>ÖREBRO LÄN</t>
        </is>
      </c>
      <c r="E19" t="inlineStr">
        <is>
          <t>KARLSKOGA</t>
        </is>
      </c>
      <c r="F19" t="inlineStr">
        <is>
          <t>Övriga Aktiebolag</t>
        </is>
      </c>
      <c r="G19" t="n">
        <v>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25084-2019</t>
        </is>
      </c>
      <c r="B20" s="1" t="n">
        <v>43601</v>
      </c>
      <c r="C20" s="1" t="n">
        <v>45566</v>
      </c>
      <c r="D20" t="inlineStr">
        <is>
          <t>ÖREBRO LÄN</t>
        </is>
      </c>
      <c r="E20" t="inlineStr">
        <is>
          <t>KARLSKOGA</t>
        </is>
      </c>
      <c r="F20" t="inlineStr">
        <is>
          <t>Övriga Aktiebolag</t>
        </is>
      </c>
      <c r="G20" t="n">
        <v>10.3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34518-2019</t>
        </is>
      </c>
      <c r="B21" s="1" t="n">
        <v>43647</v>
      </c>
      <c r="C21" s="1" t="n">
        <v>45566</v>
      </c>
      <c r="D21" t="inlineStr">
        <is>
          <t>ÖREBRO LÄN</t>
        </is>
      </c>
      <c r="E21" t="inlineStr">
        <is>
          <t>KARLSKOGA</t>
        </is>
      </c>
      <c r="G21" t="n">
        <v>4.6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34524-2019</t>
        </is>
      </c>
      <c r="B22" s="1" t="n">
        <v>43647</v>
      </c>
      <c r="C22" s="1" t="n">
        <v>45566</v>
      </c>
      <c r="D22" t="inlineStr">
        <is>
          <t>ÖREBRO LÄN</t>
        </is>
      </c>
      <c r="E22" t="inlineStr">
        <is>
          <t>KARLSKOGA</t>
        </is>
      </c>
      <c r="G22" t="n">
        <v>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37112-2019</t>
        </is>
      </c>
      <c r="B23" s="1" t="n">
        <v>43676</v>
      </c>
      <c r="C23" s="1" t="n">
        <v>45566</v>
      </c>
      <c r="D23" t="inlineStr">
        <is>
          <t>ÖREBRO LÄN</t>
        </is>
      </c>
      <c r="E23" t="inlineStr">
        <is>
          <t>KARLSKOGA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37728-2019</t>
        </is>
      </c>
      <c r="B24" s="1" t="n">
        <v>43682</v>
      </c>
      <c r="C24" s="1" t="n">
        <v>45566</v>
      </c>
      <c r="D24" t="inlineStr">
        <is>
          <t>ÖREBRO LÄN</t>
        </is>
      </c>
      <c r="E24" t="inlineStr">
        <is>
          <t>KARLSKOGA</t>
        </is>
      </c>
      <c r="G24" t="n">
        <v>4.3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38669-2019</t>
        </is>
      </c>
      <c r="B25" s="1" t="n">
        <v>43686</v>
      </c>
      <c r="C25" s="1" t="n">
        <v>45566</v>
      </c>
      <c r="D25" t="inlineStr">
        <is>
          <t>ÖREBRO LÄN</t>
        </is>
      </c>
      <c r="E25" t="inlineStr">
        <is>
          <t>KARLSKOGA</t>
        </is>
      </c>
      <c r="F25" t="inlineStr">
        <is>
          <t>Kyrkan</t>
        </is>
      </c>
      <c r="G25" t="n">
        <v>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39322-2019</t>
        </is>
      </c>
      <c r="B26" s="1" t="n">
        <v>43690</v>
      </c>
      <c r="C26" s="1" t="n">
        <v>45566</v>
      </c>
      <c r="D26" t="inlineStr">
        <is>
          <t>ÖREBRO LÄN</t>
        </is>
      </c>
      <c r="E26" t="inlineStr">
        <is>
          <t>KARLSKOGA</t>
        </is>
      </c>
      <c r="F26" t="inlineStr">
        <is>
          <t>Sveaskog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39468-2019</t>
        </is>
      </c>
      <c r="B27" s="1" t="n">
        <v>43691</v>
      </c>
      <c r="C27" s="1" t="n">
        <v>45566</v>
      </c>
      <c r="D27" t="inlineStr">
        <is>
          <t>ÖREBRO LÄN</t>
        </is>
      </c>
      <c r="E27" t="inlineStr">
        <is>
          <t>KARLSKOGA</t>
        </is>
      </c>
      <c r="F27" t="inlineStr">
        <is>
          <t>Sveaskog</t>
        </is>
      </c>
      <c r="G27" t="n">
        <v>6.4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39469-2019</t>
        </is>
      </c>
      <c r="B28" s="1" t="n">
        <v>43691</v>
      </c>
      <c r="C28" s="1" t="n">
        <v>45566</v>
      </c>
      <c r="D28" t="inlineStr">
        <is>
          <t>ÖREBRO LÄN</t>
        </is>
      </c>
      <c r="E28" t="inlineStr">
        <is>
          <t>KARLSKOGA</t>
        </is>
      </c>
      <c r="F28" t="inlineStr">
        <is>
          <t>Sveaskog</t>
        </is>
      </c>
      <c r="G28" t="n">
        <v>2.2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44836-2019</t>
        </is>
      </c>
      <c r="B29" s="1" t="n">
        <v>43712</v>
      </c>
      <c r="C29" s="1" t="n">
        <v>45566</v>
      </c>
      <c r="D29" t="inlineStr">
        <is>
          <t>ÖREBRO LÄN</t>
        </is>
      </c>
      <c r="E29" t="inlineStr">
        <is>
          <t>KARLSKOGA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54389-2019</t>
        </is>
      </c>
      <c r="B30" s="1" t="n">
        <v>43747</v>
      </c>
      <c r="C30" s="1" t="n">
        <v>45566</v>
      </c>
      <c r="D30" t="inlineStr">
        <is>
          <t>ÖREBRO LÄN</t>
        </is>
      </c>
      <c r="E30" t="inlineStr">
        <is>
          <t>KARLSKOGA</t>
        </is>
      </c>
      <c r="F30" t="inlineStr">
        <is>
          <t>Övriga Aktiebolag</t>
        </is>
      </c>
      <c r="G30" t="n">
        <v>2.1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54398-2019</t>
        </is>
      </c>
      <c r="B31" s="1" t="n">
        <v>43754</v>
      </c>
      <c r="C31" s="1" t="n">
        <v>45566</v>
      </c>
      <c r="D31" t="inlineStr">
        <is>
          <t>ÖREBRO LÄN</t>
        </is>
      </c>
      <c r="E31" t="inlineStr">
        <is>
          <t>KARLSKOGA</t>
        </is>
      </c>
      <c r="F31" t="inlineStr">
        <is>
          <t>Sveaskog</t>
        </is>
      </c>
      <c r="G31" t="n">
        <v>2.6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54423-2019</t>
        </is>
      </c>
      <c r="B32" s="1" t="n">
        <v>43754</v>
      </c>
      <c r="C32" s="1" t="n">
        <v>45566</v>
      </c>
      <c r="D32" t="inlineStr">
        <is>
          <t>ÖREBRO LÄN</t>
        </is>
      </c>
      <c r="E32" t="inlineStr">
        <is>
          <t>KARLSKOGA</t>
        </is>
      </c>
      <c r="F32" t="inlineStr">
        <is>
          <t>Sveaskog</t>
        </is>
      </c>
      <c r="G32" t="n">
        <v>2.8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54421-2019</t>
        </is>
      </c>
      <c r="B33" s="1" t="n">
        <v>43754</v>
      </c>
      <c r="C33" s="1" t="n">
        <v>45566</v>
      </c>
      <c r="D33" t="inlineStr">
        <is>
          <t>ÖREBRO LÄN</t>
        </is>
      </c>
      <c r="E33" t="inlineStr">
        <is>
          <t>KARLSKOGA</t>
        </is>
      </c>
      <c r="F33" t="inlineStr">
        <is>
          <t>Sveaskog</t>
        </is>
      </c>
      <c r="G33" t="n">
        <v>3.6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54404-2019</t>
        </is>
      </c>
      <c r="B34" s="1" t="n">
        <v>43754</v>
      </c>
      <c r="C34" s="1" t="n">
        <v>45566</v>
      </c>
      <c r="D34" t="inlineStr">
        <is>
          <t>ÖREBRO LÄN</t>
        </is>
      </c>
      <c r="E34" t="inlineStr">
        <is>
          <t>KARLSKOGA</t>
        </is>
      </c>
      <c r="F34" t="inlineStr">
        <is>
          <t>Sveaskog</t>
        </is>
      </c>
      <c r="G34" t="n">
        <v>4.1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54409-2019</t>
        </is>
      </c>
      <c r="B35" s="1" t="n">
        <v>43754</v>
      </c>
      <c r="C35" s="1" t="n">
        <v>45566</v>
      </c>
      <c r="D35" t="inlineStr">
        <is>
          <t>ÖREBRO LÄN</t>
        </is>
      </c>
      <c r="E35" t="inlineStr">
        <is>
          <t>KARLSKOGA</t>
        </is>
      </c>
      <c r="F35" t="inlineStr">
        <is>
          <t>Sveaskog</t>
        </is>
      </c>
      <c r="G35" t="n">
        <v>4.7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54711-2019</t>
        </is>
      </c>
      <c r="B36" s="1" t="n">
        <v>43755</v>
      </c>
      <c r="C36" s="1" t="n">
        <v>45566</v>
      </c>
      <c r="D36" t="inlineStr">
        <is>
          <t>ÖREBRO LÄN</t>
        </is>
      </c>
      <c r="E36" t="inlineStr">
        <is>
          <t>KARLSKOGA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56698-2019</t>
        </is>
      </c>
      <c r="B37" s="1" t="n">
        <v>43763</v>
      </c>
      <c r="C37" s="1" t="n">
        <v>45566</v>
      </c>
      <c r="D37" t="inlineStr">
        <is>
          <t>ÖREBRO LÄN</t>
        </is>
      </c>
      <c r="E37" t="inlineStr">
        <is>
          <t>KARLSKOGA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62313-2019</t>
        </is>
      </c>
      <c r="B38" s="1" t="n">
        <v>43788</v>
      </c>
      <c r="C38" s="1" t="n">
        <v>45566</v>
      </c>
      <c r="D38" t="inlineStr">
        <is>
          <t>ÖREBRO LÄN</t>
        </is>
      </c>
      <c r="E38" t="inlineStr">
        <is>
          <t>KARLSKOGA</t>
        </is>
      </c>
      <c r="F38" t="inlineStr">
        <is>
          <t>Sveaskog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62317-2019</t>
        </is>
      </c>
      <c r="B39" s="1" t="n">
        <v>43788</v>
      </c>
      <c r="C39" s="1" t="n">
        <v>45566</v>
      </c>
      <c r="D39" t="inlineStr">
        <is>
          <t>ÖREBRO LÄN</t>
        </is>
      </c>
      <c r="E39" t="inlineStr">
        <is>
          <t>KARLSKOGA</t>
        </is>
      </c>
      <c r="F39" t="inlineStr">
        <is>
          <t>Sveaskog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67800-2019</t>
        </is>
      </c>
      <c r="B40" s="1" t="n">
        <v>43815</v>
      </c>
      <c r="C40" s="1" t="n">
        <v>45566</v>
      </c>
      <c r="D40" t="inlineStr">
        <is>
          <t>ÖREBRO LÄN</t>
        </is>
      </c>
      <c r="E40" t="inlineStr">
        <is>
          <t>KARLSKOGA</t>
        </is>
      </c>
      <c r="G40" t="n">
        <v>6.6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2134-2020</t>
        </is>
      </c>
      <c r="B41" s="1" t="n">
        <v>43839</v>
      </c>
      <c r="C41" s="1" t="n">
        <v>45566</v>
      </c>
      <c r="D41" t="inlineStr">
        <is>
          <t>ÖREBRO LÄN</t>
        </is>
      </c>
      <c r="E41" t="inlineStr">
        <is>
          <t>KARLSKOGA</t>
        </is>
      </c>
      <c r="G41" t="n">
        <v>3.1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4209-2020</t>
        </is>
      </c>
      <c r="B42" s="1" t="n">
        <v>43857</v>
      </c>
      <c r="C42" s="1" t="n">
        <v>45566</v>
      </c>
      <c r="D42" t="inlineStr">
        <is>
          <t>ÖREBRO LÄN</t>
        </is>
      </c>
      <c r="E42" t="inlineStr">
        <is>
          <t>KARLSKOGA</t>
        </is>
      </c>
      <c r="G42" t="n">
        <v>1.9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6064-2020</t>
        </is>
      </c>
      <c r="B43" s="1" t="n">
        <v>43865</v>
      </c>
      <c r="C43" s="1" t="n">
        <v>45566</v>
      </c>
      <c r="D43" t="inlineStr">
        <is>
          <t>ÖREBRO LÄN</t>
        </is>
      </c>
      <c r="E43" t="inlineStr">
        <is>
          <t>KARLSKOGA</t>
        </is>
      </c>
      <c r="G43" t="n">
        <v>12.7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6014-2020</t>
        </is>
      </c>
      <c r="B44" s="1" t="n">
        <v>43865</v>
      </c>
      <c r="C44" s="1" t="n">
        <v>45566</v>
      </c>
      <c r="D44" t="inlineStr">
        <is>
          <t>ÖREBRO LÄN</t>
        </is>
      </c>
      <c r="E44" t="inlineStr">
        <is>
          <t>KARLSKOGA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6081-2020</t>
        </is>
      </c>
      <c r="B45" s="1" t="n">
        <v>43865</v>
      </c>
      <c r="C45" s="1" t="n">
        <v>45566</v>
      </c>
      <c r="D45" t="inlineStr">
        <is>
          <t>ÖREBRO LÄN</t>
        </is>
      </c>
      <c r="E45" t="inlineStr">
        <is>
          <t>KARLSKOGA</t>
        </is>
      </c>
      <c r="G45" t="n">
        <v>4.6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6089-2020</t>
        </is>
      </c>
      <c r="B46" s="1" t="n">
        <v>43865</v>
      </c>
      <c r="C46" s="1" t="n">
        <v>45566</v>
      </c>
      <c r="D46" t="inlineStr">
        <is>
          <t>ÖREBRO LÄN</t>
        </is>
      </c>
      <c r="E46" t="inlineStr">
        <is>
          <t>KARLSKOGA</t>
        </is>
      </c>
      <c r="G46" t="n">
        <v>5.2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9712-2020</t>
        </is>
      </c>
      <c r="B47" s="1" t="n">
        <v>43881</v>
      </c>
      <c r="C47" s="1" t="n">
        <v>45566</v>
      </c>
      <c r="D47" t="inlineStr">
        <is>
          <t>ÖREBRO LÄN</t>
        </is>
      </c>
      <c r="E47" t="inlineStr">
        <is>
          <t>KARLSKOGA</t>
        </is>
      </c>
      <c r="F47" t="inlineStr">
        <is>
          <t>Kyrkan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10724-2020</t>
        </is>
      </c>
      <c r="B48" s="1" t="n">
        <v>43885</v>
      </c>
      <c r="C48" s="1" t="n">
        <v>45566</v>
      </c>
      <c r="D48" t="inlineStr">
        <is>
          <t>ÖREBRO LÄN</t>
        </is>
      </c>
      <c r="E48" t="inlineStr">
        <is>
          <t>KARLSKOGA</t>
        </is>
      </c>
      <c r="G48" t="n">
        <v>2.1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15167-2020</t>
        </is>
      </c>
      <c r="B49" s="1" t="n">
        <v>43912</v>
      </c>
      <c r="C49" s="1" t="n">
        <v>45566</v>
      </c>
      <c r="D49" t="inlineStr">
        <is>
          <t>ÖREBRO LÄN</t>
        </is>
      </c>
      <c r="E49" t="inlineStr">
        <is>
          <t>KARLSKOGA</t>
        </is>
      </c>
      <c r="G49" t="n">
        <v>2.5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15168-2020</t>
        </is>
      </c>
      <c r="B50" s="1" t="n">
        <v>43912</v>
      </c>
      <c r="C50" s="1" t="n">
        <v>45566</v>
      </c>
      <c r="D50" t="inlineStr">
        <is>
          <t>ÖREBRO LÄN</t>
        </is>
      </c>
      <c r="E50" t="inlineStr">
        <is>
          <t>KARLSKOGA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15170-2020</t>
        </is>
      </c>
      <c r="B51" s="1" t="n">
        <v>43912</v>
      </c>
      <c r="C51" s="1" t="n">
        <v>45566</v>
      </c>
      <c r="D51" t="inlineStr">
        <is>
          <t>ÖREBRO LÄN</t>
        </is>
      </c>
      <c r="E51" t="inlineStr">
        <is>
          <t>KARLSKOGA</t>
        </is>
      </c>
      <c r="G51" t="n">
        <v>13.1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16186-2020</t>
        </is>
      </c>
      <c r="B52" s="1" t="n">
        <v>43917</v>
      </c>
      <c r="C52" s="1" t="n">
        <v>45566</v>
      </c>
      <c r="D52" t="inlineStr">
        <is>
          <t>ÖREBRO LÄN</t>
        </is>
      </c>
      <c r="E52" t="inlineStr">
        <is>
          <t>KARLSKOGA</t>
        </is>
      </c>
      <c r="G52" t="n">
        <v>0.2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16185-2020</t>
        </is>
      </c>
      <c r="B53" s="1" t="n">
        <v>43917</v>
      </c>
      <c r="C53" s="1" t="n">
        <v>45566</v>
      </c>
      <c r="D53" t="inlineStr">
        <is>
          <t>ÖREBRO LÄN</t>
        </is>
      </c>
      <c r="E53" t="inlineStr">
        <is>
          <t>KARLSKOGA</t>
        </is>
      </c>
      <c r="G53" t="n">
        <v>0.3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16192-2020</t>
        </is>
      </c>
      <c r="B54" s="1" t="n">
        <v>43917</v>
      </c>
      <c r="C54" s="1" t="n">
        <v>45566</v>
      </c>
      <c r="D54" t="inlineStr">
        <is>
          <t>ÖREBRO LÄN</t>
        </is>
      </c>
      <c r="E54" t="inlineStr">
        <is>
          <t>KARLSKOGA</t>
        </is>
      </c>
      <c r="G54" t="n">
        <v>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16693-2020</t>
        </is>
      </c>
      <c r="B55" s="1" t="n">
        <v>43920</v>
      </c>
      <c r="C55" s="1" t="n">
        <v>45566</v>
      </c>
      <c r="D55" t="inlineStr">
        <is>
          <t>ÖREBRO LÄN</t>
        </is>
      </c>
      <c r="E55" t="inlineStr">
        <is>
          <t>KARLSKOGA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18663-2020</t>
        </is>
      </c>
      <c r="B56" s="1" t="n">
        <v>43930</v>
      </c>
      <c r="C56" s="1" t="n">
        <v>45566</v>
      </c>
      <c r="D56" t="inlineStr">
        <is>
          <t>ÖREBRO LÄN</t>
        </is>
      </c>
      <c r="E56" t="inlineStr">
        <is>
          <t>KARLSKOGA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22354-2020</t>
        </is>
      </c>
      <c r="B57" s="1" t="n">
        <v>43957</v>
      </c>
      <c r="C57" s="1" t="n">
        <v>45566</v>
      </c>
      <c r="D57" t="inlineStr">
        <is>
          <t>ÖREBRO LÄN</t>
        </is>
      </c>
      <c r="E57" t="inlineStr">
        <is>
          <t>KARLSKOGA</t>
        </is>
      </c>
      <c r="F57" t="inlineStr">
        <is>
          <t>Övriga Aktiebolag</t>
        </is>
      </c>
      <c r="G57" t="n">
        <v>4.4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27293-2020</t>
        </is>
      </c>
      <c r="B58" s="1" t="n">
        <v>43992</v>
      </c>
      <c r="C58" s="1" t="n">
        <v>45566</v>
      </c>
      <c r="D58" t="inlineStr">
        <is>
          <t>ÖREBRO LÄN</t>
        </is>
      </c>
      <c r="E58" t="inlineStr">
        <is>
          <t>KARLSKOGA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31167-2020</t>
        </is>
      </c>
      <c r="B59" s="1" t="n">
        <v>44012</v>
      </c>
      <c r="C59" s="1" t="n">
        <v>45566</v>
      </c>
      <c r="D59" t="inlineStr">
        <is>
          <t>ÖREBRO LÄN</t>
        </is>
      </c>
      <c r="E59" t="inlineStr">
        <is>
          <t>KARLSKOGA</t>
        </is>
      </c>
      <c r="F59" t="inlineStr">
        <is>
          <t>Sveaskog</t>
        </is>
      </c>
      <c r="G59" t="n">
        <v>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31156-2020</t>
        </is>
      </c>
      <c r="B60" s="1" t="n">
        <v>44012</v>
      </c>
      <c r="C60" s="1" t="n">
        <v>45566</v>
      </c>
      <c r="D60" t="inlineStr">
        <is>
          <t>ÖREBRO LÄN</t>
        </is>
      </c>
      <c r="E60" t="inlineStr">
        <is>
          <t>KARLSKOGA</t>
        </is>
      </c>
      <c r="F60" t="inlineStr">
        <is>
          <t>Sveaskog</t>
        </is>
      </c>
      <c r="G60" t="n">
        <v>2.9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38739-2020</t>
        </is>
      </c>
      <c r="B61" s="1" t="n">
        <v>44061</v>
      </c>
      <c r="C61" s="1" t="n">
        <v>45566</v>
      </c>
      <c r="D61" t="inlineStr">
        <is>
          <t>ÖREBRO LÄN</t>
        </is>
      </c>
      <c r="E61" t="inlineStr">
        <is>
          <t>KARLSKOGA</t>
        </is>
      </c>
      <c r="F61" t="inlineStr">
        <is>
          <t>Sveaskog</t>
        </is>
      </c>
      <c r="G61" t="n">
        <v>4.8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39825-2020</t>
        </is>
      </c>
      <c r="B62" s="1" t="n">
        <v>44067</v>
      </c>
      <c r="C62" s="1" t="n">
        <v>45566</v>
      </c>
      <c r="D62" t="inlineStr">
        <is>
          <t>ÖREBRO LÄN</t>
        </is>
      </c>
      <c r="E62" t="inlineStr">
        <is>
          <t>KARLSKOGA</t>
        </is>
      </c>
      <c r="F62" t="inlineStr">
        <is>
          <t>Sveaskog</t>
        </is>
      </c>
      <c r="G62" t="n">
        <v>5.4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45146-2020</t>
        </is>
      </c>
      <c r="B63" s="1" t="n">
        <v>44084</v>
      </c>
      <c r="C63" s="1" t="n">
        <v>45566</v>
      </c>
      <c r="D63" t="inlineStr">
        <is>
          <t>ÖREBRO LÄN</t>
        </is>
      </c>
      <c r="E63" t="inlineStr">
        <is>
          <t>KARLSKOGA</t>
        </is>
      </c>
      <c r="F63" t="inlineStr">
        <is>
          <t>Övriga Aktiebolag</t>
        </is>
      </c>
      <c r="G63" t="n">
        <v>18.7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44799-2020</t>
        </is>
      </c>
      <c r="B64" s="1" t="n">
        <v>44085</v>
      </c>
      <c r="C64" s="1" t="n">
        <v>45566</v>
      </c>
      <c r="D64" t="inlineStr">
        <is>
          <t>ÖREBRO LÄN</t>
        </is>
      </c>
      <c r="E64" t="inlineStr">
        <is>
          <t>KARLSKOGA</t>
        </is>
      </c>
      <c r="G64" t="n">
        <v>2.4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45563-2020</t>
        </is>
      </c>
      <c r="B65" s="1" t="n">
        <v>44090</v>
      </c>
      <c r="C65" s="1" t="n">
        <v>45566</v>
      </c>
      <c r="D65" t="inlineStr">
        <is>
          <t>ÖREBRO LÄN</t>
        </is>
      </c>
      <c r="E65" t="inlineStr">
        <is>
          <t>KARLSKOGA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45570-2020</t>
        </is>
      </c>
      <c r="B66" s="1" t="n">
        <v>44090</v>
      </c>
      <c r="C66" s="1" t="n">
        <v>45566</v>
      </c>
      <c r="D66" t="inlineStr">
        <is>
          <t>ÖREBRO LÄN</t>
        </is>
      </c>
      <c r="E66" t="inlineStr">
        <is>
          <t>KARLSKOGA</t>
        </is>
      </c>
      <c r="G66" t="n">
        <v>0.3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48373-2020</t>
        </is>
      </c>
      <c r="B67" s="1" t="n">
        <v>44097</v>
      </c>
      <c r="C67" s="1" t="n">
        <v>45566</v>
      </c>
      <c r="D67" t="inlineStr">
        <is>
          <t>ÖREBRO LÄN</t>
        </is>
      </c>
      <c r="E67" t="inlineStr">
        <is>
          <t>KARLSKOGA</t>
        </is>
      </c>
      <c r="F67" t="inlineStr">
        <is>
          <t>Kommuner</t>
        </is>
      </c>
      <c r="G67" t="n">
        <v>3.7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53947-2020</t>
        </is>
      </c>
      <c r="B68" s="1" t="n">
        <v>44125</v>
      </c>
      <c r="C68" s="1" t="n">
        <v>45566</v>
      </c>
      <c r="D68" t="inlineStr">
        <is>
          <t>ÖREBRO LÄN</t>
        </is>
      </c>
      <c r="E68" t="inlineStr">
        <is>
          <t>KARLSKOGA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53946-2020</t>
        </is>
      </c>
      <c r="B69" s="1" t="n">
        <v>44125</v>
      </c>
      <c r="C69" s="1" t="n">
        <v>45566</v>
      </c>
      <c r="D69" t="inlineStr">
        <is>
          <t>ÖREBRO LÄN</t>
        </is>
      </c>
      <c r="E69" t="inlineStr">
        <is>
          <t>KARLSKOGA</t>
        </is>
      </c>
      <c r="G69" t="n">
        <v>2.3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53944-2020</t>
        </is>
      </c>
      <c r="B70" s="1" t="n">
        <v>44125</v>
      </c>
      <c r="C70" s="1" t="n">
        <v>45566</v>
      </c>
      <c r="D70" t="inlineStr">
        <is>
          <t>ÖREBRO LÄN</t>
        </is>
      </c>
      <c r="E70" t="inlineStr">
        <is>
          <t>KARLSKOGA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54439-2020</t>
        </is>
      </c>
      <c r="B71" s="1" t="n">
        <v>44126</v>
      </c>
      <c r="C71" s="1" t="n">
        <v>45566</v>
      </c>
      <c r="D71" t="inlineStr">
        <is>
          <t>ÖREBRO LÄN</t>
        </is>
      </c>
      <c r="E71" t="inlineStr">
        <is>
          <t>KARLSKOGA</t>
        </is>
      </c>
      <c r="G71" t="n">
        <v>5.8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55279-2020</t>
        </is>
      </c>
      <c r="B72" s="1" t="n">
        <v>44130</v>
      </c>
      <c r="C72" s="1" t="n">
        <v>45566</v>
      </c>
      <c r="D72" t="inlineStr">
        <is>
          <t>ÖREBRO LÄN</t>
        </is>
      </c>
      <c r="E72" t="inlineStr">
        <is>
          <t>KARLSKOGA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57297-2020</t>
        </is>
      </c>
      <c r="B73" s="1" t="n">
        <v>44139</v>
      </c>
      <c r="C73" s="1" t="n">
        <v>45566</v>
      </c>
      <c r="D73" t="inlineStr">
        <is>
          <t>ÖREBRO LÄN</t>
        </is>
      </c>
      <c r="E73" t="inlineStr">
        <is>
          <t>KARLSKOGA</t>
        </is>
      </c>
      <c r="F73" t="inlineStr">
        <is>
          <t>Sveaskog</t>
        </is>
      </c>
      <c r="G73" t="n">
        <v>2.8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57287-2020</t>
        </is>
      </c>
      <c r="B74" s="1" t="n">
        <v>44139</v>
      </c>
      <c r="C74" s="1" t="n">
        <v>45566</v>
      </c>
      <c r="D74" t="inlineStr">
        <is>
          <t>ÖREBRO LÄN</t>
        </is>
      </c>
      <c r="E74" t="inlineStr">
        <is>
          <t>KARLSKOGA</t>
        </is>
      </c>
      <c r="F74" t="inlineStr">
        <is>
          <t>Sveaskog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57298-2020</t>
        </is>
      </c>
      <c r="B75" s="1" t="n">
        <v>44139</v>
      </c>
      <c r="C75" s="1" t="n">
        <v>45566</v>
      </c>
      <c r="D75" t="inlineStr">
        <is>
          <t>ÖREBRO LÄN</t>
        </is>
      </c>
      <c r="E75" t="inlineStr">
        <is>
          <t>KARLSKOGA</t>
        </is>
      </c>
      <c r="F75" t="inlineStr">
        <is>
          <t>Sveaskog</t>
        </is>
      </c>
      <c r="G75" t="n">
        <v>5.6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57283-2020</t>
        </is>
      </c>
      <c r="B76" s="1" t="n">
        <v>44139</v>
      </c>
      <c r="C76" s="1" t="n">
        <v>45566</v>
      </c>
      <c r="D76" t="inlineStr">
        <is>
          <t>ÖREBRO LÄN</t>
        </is>
      </c>
      <c r="E76" t="inlineStr">
        <is>
          <t>KARLSKOGA</t>
        </is>
      </c>
      <c r="F76" t="inlineStr">
        <is>
          <t>Sveaskog</t>
        </is>
      </c>
      <c r="G76" t="n">
        <v>3.4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57289-2020</t>
        </is>
      </c>
      <c r="B77" s="1" t="n">
        <v>44139</v>
      </c>
      <c r="C77" s="1" t="n">
        <v>45566</v>
      </c>
      <c r="D77" t="inlineStr">
        <is>
          <t>ÖREBRO LÄN</t>
        </is>
      </c>
      <c r="E77" t="inlineStr">
        <is>
          <t>KARLSKOGA</t>
        </is>
      </c>
      <c r="F77" t="inlineStr">
        <is>
          <t>Sveaskog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57285-2020</t>
        </is>
      </c>
      <c r="B78" s="1" t="n">
        <v>44139</v>
      </c>
      <c r="C78" s="1" t="n">
        <v>45566</v>
      </c>
      <c r="D78" t="inlineStr">
        <is>
          <t>ÖREBRO LÄN</t>
        </is>
      </c>
      <c r="E78" t="inlineStr">
        <is>
          <t>KARLSKOGA</t>
        </is>
      </c>
      <c r="F78" t="inlineStr">
        <is>
          <t>Sveaskog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57379-2020</t>
        </is>
      </c>
      <c r="B79" s="1" t="n">
        <v>44140</v>
      </c>
      <c r="C79" s="1" t="n">
        <v>45566</v>
      </c>
      <c r="D79" t="inlineStr">
        <is>
          <t>ÖREBRO LÄN</t>
        </is>
      </c>
      <c r="E79" t="inlineStr">
        <is>
          <t>KARLSKOGA</t>
        </is>
      </c>
      <c r="F79" t="inlineStr">
        <is>
          <t>Sveaskog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57378-2020</t>
        </is>
      </c>
      <c r="B80" s="1" t="n">
        <v>44140</v>
      </c>
      <c r="C80" s="1" t="n">
        <v>45566</v>
      </c>
      <c r="D80" t="inlineStr">
        <is>
          <t>ÖREBRO LÄN</t>
        </is>
      </c>
      <c r="E80" t="inlineStr">
        <is>
          <t>KARLSKOGA</t>
        </is>
      </c>
      <c r="F80" t="inlineStr">
        <is>
          <t>Sveaskog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57380-2020</t>
        </is>
      </c>
      <c r="B81" s="1" t="n">
        <v>44140</v>
      </c>
      <c r="C81" s="1" t="n">
        <v>45566</v>
      </c>
      <c r="D81" t="inlineStr">
        <is>
          <t>ÖREBRO LÄN</t>
        </is>
      </c>
      <c r="E81" t="inlineStr">
        <is>
          <t>KARLSKOGA</t>
        </is>
      </c>
      <c r="F81" t="inlineStr">
        <is>
          <t>Sveaskog</t>
        </is>
      </c>
      <c r="G81" t="n">
        <v>4.7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57655-2020</t>
        </is>
      </c>
      <c r="B82" s="1" t="n">
        <v>44140</v>
      </c>
      <c r="C82" s="1" t="n">
        <v>45566</v>
      </c>
      <c r="D82" t="inlineStr">
        <is>
          <t>ÖREBRO LÄN</t>
        </is>
      </c>
      <c r="E82" t="inlineStr">
        <is>
          <t>KARLSKOGA</t>
        </is>
      </c>
      <c r="F82" t="inlineStr">
        <is>
          <t>Kommuner</t>
        </is>
      </c>
      <c r="G82" t="n">
        <v>3.6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58273-2020</t>
        </is>
      </c>
      <c r="B83" s="1" t="n">
        <v>44141</v>
      </c>
      <c r="C83" s="1" t="n">
        <v>45566</v>
      </c>
      <c r="D83" t="inlineStr">
        <is>
          <t>ÖREBRO LÄN</t>
        </is>
      </c>
      <c r="E83" t="inlineStr">
        <is>
          <t>KARLSKOGA</t>
        </is>
      </c>
      <c r="G83" t="n">
        <v>5.4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58020-2020</t>
        </is>
      </c>
      <c r="B84" s="1" t="n">
        <v>44144</v>
      </c>
      <c r="C84" s="1" t="n">
        <v>45566</v>
      </c>
      <c r="D84" t="inlineStr">
        <is>
          <t>ÖREBRO LÄN</t>
        </is>
      </c>
      <c r="E84" t="inlineStr">
        <is>
          <t>KARLSKOGA</t>
        </is>
      </c>
      <c r="F84" t="inlineStr">
        <is>
          <t>Sveaskog</t>
        </is>
      </c>
      <c r="G84" t="n">
        <v>5.5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58476-2020</t>
        </is>
      </c>
      <c r="B85" s="1" t="n">
        <v>44144</v>
      </c>
      <c r="C85" s="1" t="n">
        <v>45566</v>
      </c>
      <c r="D85" t="inlineStr">
        <is>
          <t>ÖREBRO LÄN</t>
        </is>
      </c>
      <c r="E85" t="inlineStr">
        <is>
          <t>KARLSKOGA</t>
        </is>
      </c>
      <c r="G85" t="n">
        <v>2.7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62213-2020</t>
        </is>
      </c>
      <c r="B86" s="1" t="n">
        <v>44159</v>
      </c>
      <c r="C86" s="1" t="n">
        <v>45566</v>
      </c>
      <c r="D86" t="inlineStr">
        <is>
          <t>ÖREBRO LÄN</t>
        </is>
      </c>
      <c r="E86" t="inlineStr">
        <is>
          <t>KARLSKOGA</t>
        </is>
      </c>
      <c r="G86" t="n">
        <v>3.9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62212-2020</t>
        </is>
      </c>
      <c r="B87" s="1" t="n">
        <v>44159</v>
      </c>
      <c r="C87" s="1" t="n">
        <v>45566</v>
      </c>
      <c r="D87" t="inlineStr">
        <is>
          <t>ÖREBRO LÄN</t>
        </is>
      </c>
      <c r="E87" t="inlineStr">
        <is>
          <t>KARLSKOGA</t>
        </is>
      </c>
      <c r="G87" t="n">
        <v>3.6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2804-2021</t>
        </is>
      </c>
      <c r="B88" s="1" t="n">
        <v>44215</v>
      </c>
      <c r="C88" s="1" t="n">
        <v>45566</v>
      </c>
      <c r="D88" t="inlineStr">
        <is>
          <t>ÖREBRO LÄN</t>
        </is>
      </c>
      <c r="E88" t="inlineStr">
        <is>
          <t>KARLSKOGA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5836-2021</t>
        </is>
      </c>
      <c r="B89" s="1" t="n">
        <v>44230</v>
      </c>
      <c r="C89" s="1" t="n">
        <v>45566</v>
      </c>
      <c r="D89" t="inlineStr">
        <is>
          <t>ÖREBRO LÄN</t>
        </is>
      </c>
      <c r="E89" t="inlineStr">
        <is>
          <t>KARLSKOGA</t>
        </is>
      </c>
      <c r="F89" t="inlineStr">
        <is>
          <t>Övriga Aktiebolag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7989-2021</t>
        </is>
      </c>
      <c r="B90" s="1" t="n">
        <v>44243</v>
      </c>
      <c r="C90" s="1" t="n">
        <v>45566</v>
      </c>
      <c r="D90" t="inlineStr">
        <is>
          <t>ÖREBRO LÄN</t>
        </is>
      </c>
      <c r="E90" t="inlineStr">
        <is>
          <t>KARLSKOGA</t>
        </is>
      </c>
      <c r="F90" t="inlineStr">
        <is>
          <t>Sveaskog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8573-2021</t>
        </is>
      </c>
      <c r="B91" s="1" t="n">
        <v>44245</v>
      </c>
      <c r="C91" s="1" t="n">
        <v>45566</v>
      </c>
      <c r="D91" t="inlineStr">
        <is>
          <t>ÖREBRO LÄN</t>
        </is>
      </c>
      <c r="E91" t="inlineStr">
        <is>
          <t>KARLSKOGA</t>
        </is>
      </c>
      <c r="G91" t="n">
        <v>3.3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8590-2021</t>
        </is>
      </c>
      <c r="B92" s="1" t="n">
        <v>44245</v>
      </c>
      <c r="C92" s="1" t="n">
        <v>45566</v>
      </c>
      <c r="D92" t="inlineStr">
        <is>
          <t>ÖREBRO LÄN</t>
        </is>
      </c>
      <c r="E92" t="inlineStr">
        <is>
          <t>KARLSKOGA</t>
        </is>
      </c>
      <c r="F92" t="inlineStr">
        <is>
          <t>Övriga Aktiebolag</t>
        </is>
      </c>
      <c r="G92" t="n">
        <v>0.3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10327-2021</t>
        </is>
      </c>
      <c r="B93" s="1" t="n">
        <v>44257</v>
      </c>
      <c r="C93" s="1" t="n">
        <v>45566</v>
      </c>
      <c r="D93" t="inlineStr">
        <is>
          <t>ÖREBRO LÄN</t>
        </is>
      </c>
      <c r="E93" t="inlineStr">
        <is>
          <t>KARLSKOGA</t>
        </is>
      </c>
      <c r="G93" t="n">
        <v>6.5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10492-2021</t>
        </is>
      </c>
      <c r="B94" s="1" t="n">
        <v>44258</v>
      </c>
      <c r="C94" s="1" t="n">
        <v>45566</v>
      </c>
      <c r="D94" t="inlineStr">
        <is>
          <t>ÖREBRO LÄN</t>
        </is>
      </c>
      <c r="E94" t="inlineStr">
        <is>
          <t>KARLSKOGA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11085-2021</t>
        </is>
      </c>
      <c r="B95" s="1" t="n">
        <v>44260</v>
      </c>
      <c r="C95" s="1" t="n">
        <v>45566</v>
      </c>
      <c r="D95" t="inlineStr">
        <is>
          <t>ÖREBRO LÄN</t>
        </is>
      </c>
      <c r="E95" t="inlineStr">
        <is>
          <t>KARLSKOGA</t>
        </is>
      </c>
      <c r="F95" t="inlineStr">
        <is>
          <t>Sveaskog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21035-2021</t>
        </is>
      </c>
      <c r="B96" s="1" t="n">
        <v>44319</v>
      </c>
      <c r="C96" s="1" t="n">
        <v>45566</v>
      </c>
      <c r="D96" t="inlineStr">
        <is>
          <t>ÖREBRO LÄN</t>
        </is>
      </c>
      <c r="E96" t="inlineStr">
        <is>
          <t>KARLSKOGA</t>
        </is>
      </c>
      <c r="F96" t="inlineStr">
        <is>
          <t>Kyrkan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21492-2021</t>
        </is>
      </c>
      <c r="B97" s="1" t="n">
        <v>44321</v>
      </c>
      <c r="C97" s="1" t="n">
        <v>45566</v>
      </c>
      <c r="D97" t="inlineStr">
        <is>
          <t>ÖREBRO LÄN</t>
        </is>
      </c>
      <c r="E97" t="inlineStr">
        <is>
          <t>KARLSKOGA</t>
        </is>
      </c>
      <c r="G97" t="n">
        <v>4.1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21682-2021</t>
        </is>
      </c>
      <c r="B98" s="1" t="n">
        <v>44322</v>
      </c>
      <c r="C98" s="1" t="n">
        <v>45566</v>
      </c>
      <c r="D98" t="inlineStr">
        <is>
          <t>ÖREBRO LÄN</t>
        </is>
      </c>
      <c r="E98" t="inlineStr">
        <is>
          <t>KARLSKOGA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21721-2021</t>
        </is>
      </c>
      <c r="B99" s="1" t="n">
        <v>44322</v>
      </c>
      <c r="C99" s="1" t="n">
        <v>45566</v>
      </c>
      <c r="D99" t="inlineStr">
        <is>
          <t>ÖREBRO LÄN</t>
        </is>
      </c>
      <c r="E99" t="inlineStr">
        <is>
          <t>KARLSKOGA</t>
        </is>
      </c>
      <c r="G99" t="n">
        <v>4.3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21784-2021</t>
        </is>
      </c>
      <c r="B100" s="1" t="n">
        <v>44322</v>
      </c>
      <c r="C100" s="1" t="n">
        <v>45566</v>
      </c>
      <c r="D100" t="inlineStr">
        <is>
          <t>ÖREBRO LÄN</t>
        </is>
      </c>
      <c r="E100" t="inlineStr">
        <is>
          <t>KARLSKOGA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22624-2021</t>
        </is>
      </c>
      <c r="B101" s="1" t="n">
        <v>44327</v>
      </c>
      <c r="C101" s="1" t="n">
        <v>45566</v>
      </c>
      <c r="D101" t="inlineStr">
        <is>
          <t>ÖREBRO LÄN</t>
        </is>
      </c>
      <c r="E101" t="inlineStr">
        <is>
          <t>KARLSKOGA</t>
        </is>
      </c>
      <c r="F101" t="inlineStr">
        <is>
          <t>Kyrkan</t>
        </is>
      </c>
      <c r="G101" t="n">
        <v>4.5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22621-2021</t>
        </is>
      </c>
      <c r="B102" s="1" t="n">
        <v>44327</v>
      </c>
      <c r="C102" s="1" t="n">
        <v>45566</v>
      </c>
      <c r="D102" t="inlineStr">
        <is>
          <t>ÖREBRO LÄN</t>
        </is>
      </c>
      <c r="E102" t="inlineStr">
        <is>
          <t>KARLSKOGA</t>
        </is>
      </c>
      <c r="G102" t="n">
        <v>2.2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24637-2021</t>
        </is>
      </c>
      <c r="B103" s="1" t="n">
        <v>44340</v>
      </c>
      <c r="C103" s="1" t="n">
        <v>45566</v>
      </c>
      <c r="D103" t="inlineStr">
        <is>
          <t>ÖREBRO LÄN</t>
        </is>
      </c>
      <c r="E103" t="inlineStr">
        <is>
          <t>KARLSKOGA</t>
        </is>
      </c>
      <c r="F103" t="inlineStr">
        <is>
          <t>Sveaskog</t>
        </is>
      </c>
      <c r="G103" t="n">
        <v>2.6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25116-2021</t>
        </is>
      </c>
      <c r="B104" s="1" t="n">
        <v>44341</v>
      </c>
      <c r="C104" s="1" t="n">
        <v>45566</v>
      </c>
      <c r="D104" t="inlineStr">
        <is>
          <t>ÖREBRO LÄN</t>
        </is>
      </c>
      <c r="E104" t="inlineStr">
        <is>
          <t>KARLSKOGA</t>
        </is>
      </c>
      <c r="F104" t="inlineStr">
        <is>
          <t>Sveaskog</t>
        </is>
      </c>
      <c r="G104" t="n">
        <v>3.2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25898-2021</t>
        </is>
      </c>
      <c r="B105" s="1" t="n">
        <v>44344</v>
      </c>
      <c r="C105" s="1" t="n">
        <v>45566</v>
      </c>
      <c r="D105" t="inlineStr">
        <is>
          <t>ÖREBRO LÄN</t>
        </is>
      </c>
      <c r="E105" t="inlineStr">
        <is>
          <t>KARLSKOGA</t>
        </is>
      </c>
      <c r="F105" t="inlineStr">
        <is>
          <t>Sveaskog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26196-2021</t>
        </is>
      </c>
      <c r="B106" s="1" t="n">
        <v>44347</v>
      </c>
      <c r="C106" s="1" t="n">
        <v>45566</v>
      </c>
      <c r="D106" t="inlineStr">
        <is>
          <t>ÖREBRO LÄN</t>
        </is>
      </c>
      <c r="E106" t="inlineStr">
        <is>
          <t>KARLSKOGA</t>
        </is>
      </c>
      <c r="F106" t="inlineStr">
        <is>
          <t>Sveaskog</t>
        </is>
      </c>
      <c r="G106" t="n">
        <v>2.7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26194-2021</t>
        </is>
      </c>
      <c r="B107" s="1" t="n">
        <v>44347</v>
      </c>
      <c r="C107" s="1" t="n">
        <v>45566</v>
      </c>
      <c r="D107" t="inlineStr">
        <is>
          <t>ÖREBRO LÄN</t>
        </is>
      </c>
      <c r="E107" t="inlineStr">
        <is>
          <t>KARLSKOGA</t>
        </is>
      </c>
      <c r="F107" t="inlineStr">
        <is>
          <t>Sveaskog</t>
        </is>
      </c>
      <c r="G107" t="n">
        <v>3.5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27728-2021</t>
        </is>
      </c>
      <c r="B108" s="1" t="n">
        <v>44354</v>
      </c>
      <c r="C108" s="1" t="n">
        <v>45566</v>
      </c>
      <c r="D108" t="inlineStr">
        <is>
          <t>ÖREBRO LÄN</t>
        </is>
      </c>
      <c r="E108" t="inlineStr">
        <is>
          <t>KARLSKOGA</t>
        </is>
      </c>
      <c r="F108" t="inlineStr">
        <is>
          <t>Sveaskog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27727-2021</t>
        </is>
      </c>
      <c r="B109" s="1" t="n">
        <v>44354</v>
      </c>
      <c r="C109" s="1" t="n">
        <v>45566</v>
      </c>
      <c r="D109" t="inlineStr">
        <is>
          <t>ÖREBRO LÄN</t>
        </is>
      </c>
      <c r="E109" t="inlineStr">
        <is>
          <t>KARLSKOGA</t>
        </is>
      </c>
      <c r="F109" t="inlineStr">
        <is>
          <t>Sveaskog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27735-2021</t>
        </is>
      </c>
      <c r="B110" s="1" t="n">
        <v>44354</v>
      </c>
      <c r="C110" s="1" t="n">
        <v>45566</v>
      </c>
      <c r="D110" t="inlineStr">
        <is>
          <t>ÖREBRO LÄN</t>
        </is>
      </c>
      <c r="E110" t="inlineStr">
        <is>
          <t>KARLSKOGA</t>
        </is>
      </c>
      <c r="F110" t="inlineStr">
        <is>
          <t>Sveaskog</t>
        </is>
      </c>
      <c r="G110" t="n">
        <v>2.9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29810-2021</t>
        </is>
      </c>
      <c r="B111" s="1" t="n">
        <v>44362</v>
      </c>
      <c r="C111" s="1" t="n">
        <v>45566</v>
      </c>
      <c r="D111" t="inlineStr">
        <is>
          <t>ÖREBRO LÄN</t>
        </is>
      </c>
      <c r="E111" t="inlineStr">
        <is>
          <t>KARLSKOGA</t>
        </is>
      </c>
      <c r="F111" t="inlineStr">
        <is>
          <t>Sveaskog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32405-2021</t>
        </is>
      </c>
      <c r="B112" s="1" t="n">
        <v>44371</v>
      </c>
      <c r="C112" s="1" t="n">
        <v>45566</v>
      </c>
      <c r="D112" t="inlineStr">
        <is>
          <t>ÖREBRO LÄN</t>
        </is>
      </c>
      <c r="E112" t="inlineStr">
        <is>
          <t>KARLSKOGA</t>
        </is>
      </c>
      <c r="F112" t="inlineStr">
        <is>
          <t>Sveaskog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32425-2021</t>
        </is>
      </c>
      <c r="B113" s="1" t="n">
        <v>44371</v>
      </c>
      <c r="C113" s="1" t="n">
        <v>45566</v>
      </c>
      <c r="D113" t="inlineStr">
        <is>
          <t>ÖREBRO LÄN</t>
        </is>
      </c>
      <c r="E113" t="inlineStr">
        <is>
          <t>KARLSKOGA</t>
        </is>
      </c>
      <c r="F113" t="inlineStr">
        <is>
          <t>Sveaskog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32408-2021</t>
        </is>
      </c>
      <c r="B114" s="1" t="n">
        <v>44371</v>
      </c>
      <c r="C114" s="1" t="n">
        <v>45566</v>
      </c>
      <c r="D114" t="inlineStr">
        <is>
          <t>ÖREBRO LÄN</t>
        </is>
      </c>
      <c r="E114" t="inlineStr">
        <is>
          <t>KARLSKOGA</t>
        </is>
      </c>
      <c r="F114" t="inlineStr">
        <is>
          <t>Sveaskog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32410-2021</t>
        </is>
      </c>
      <c r="B115" s="1" t="n">
        <v>44371</v>
      </c>
      <c r="C115" s="1" t="n">
        <v>45566</v>
      </c>
      <c r="D115" t="inlineStr">
        <is>
          <t>ÖREBRO LÄN</t>
        </is>
      </c>
      <c r="E115" t="inlineStr">
        <is>
          <t>KARLSKOGA</t>
        </is>
      </c>
      <c r="F115" t="inlineStr">
        <is>
          <t>Sveaskog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34457-2021</t>
        </is>
      </c>
      <c r="B116" s="1" t="n">
        <v>44381</v>
      </c>
      <c r="C116" s="1" t="n">
        <v>45566</v>
      </c>
      <c r="D116" t="inlineStr">
        <is>
          <t>ÖREBRO LÄN</t>
        </is>
      </c>
      <c r="E116" t="inlineStr">
        <is>
          <t>KARLSKOGA</t>
        </is>
      </c>
      <c r="G116" t="n">
        <v>0.2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34460-2021</t>
        </is>
      </c>
      <c r="B117" s="1" t="n">
        <v>44381</v>
      </c>
      <c r="C117" s="1" t="n">
        <v>45566</v>
      </c>
      <c r="D117" t="inlineStr">
        <is>
          <t>ÖREBRO LÄN</t>
        </is>
      </c>
      <c r="E117" t="inlineStr">
        <is>
          <t>KARLSKOGA</t>
        </is>
      </c>
      <c r="G117" t="n">
        <v>3.4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34585-2021</t>
        </is>
      </c>
      <c r="B118" s="1" t="n">
        <v>44382</v>
      </c>
      <c r="C118" s="1" t="n">
        <v>45566</v>
      </c>
      <c r="D118" t="inlineStr">
        <is>
          <t>ÖREBRO LÄN</t>
        </is>
      </c>
      <c r="E118" t="inlineStr">
        <is>
          <t>KARLSKOGA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41026-2021</t>
        </is>
      </c>
      <c r="B119" s="1" t="n">
        <v>44421</v>
      </c>
      <c r="C119" s="1" t="n">
        <v>45566</v>
      </c>
      <c r="D119" t="inlineStr">
        <is>
          <t>ÖREBRO LÄN</t>
        </is>
      </c>
      <c r="E119" t="inlineStr">
        <is>
          <t>KARLSKOGA</t>
        </is>
      </c>
      <c r="F119" t="inlineStr">
        <is>
          <t>Sveaskog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41777-2021</t>
        </is>
      </c>
      <c r="B120" s="1" t="n">
        <v>44425</v>
      </c>
      <c r="C120" s="1" t="n">
        <v>45566</v>
      </c>
      <c r="D120" t="inlineStr">
        <is>
          <t>ÖREBRO LÄN</t>
        </is>
      </c>
      <c r="E120" t="inlineStr">
        <is>
          <t>KARLSKOGA</t>
        </is>
      </c>
      <c r="F120" t="inlineStr">
        <is>
          <t>Sveaskog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41779-2021</t>
        </is>
      </c>
      <c r="B121" s="1" t="n">
        <v>44425</v>
      </c>
      <c r="C121" s="1" t="n">
        <v>45566</v>
      </c>
      <c r="D121" t="inlineStr">
        <is>
          <t>ÖREBRO LÄN</t>
        </is>
      </c>
      <c r="E121" t="inlineStr">
        <is>
          <t>KARLSKOGA</t>
        </is>
      </c>
      <c r="F121" t="inlineStr">
        <is>
          <t>Sveaskog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41775-2021</t>
        </is>
      </c>
      <c r="B122" s="1" t="n">
        <v>44425</v>
      </c>
      <c r="C122" s="1" t="n">
        <v>45566</v>
      </c>
      <c r="D122" t="inlineStr">
        <is>
          <t>ÖREBRO LÄN</t>
        </is>
      </c>
      <c r="E122" t="inlineStr">
        <is>
          <t>KARLSKOGA</t>
        </is>
      </c>
      <c r="F122" t="inlineStr">
        <is>
          <t>Sveaskog</t>
        </is>
      </c>
      <c r="G122" t="n">
        <v>2.2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44723-2021</t>
        </is>
      </c>
      <c r="B123" s="1" t="n">
        <v>44438</v>
      </c>
      <c r="C123" s="1" t="n">
        <v>45566</v>
      </c>
      <c r="D123" t="inlineStr">
        <is>
          <t>ÖREBRO LÄN</t>
        </is>
      </c>
      <c r="E123" t="inlineStr">
        <is>
          <t>KARLSKOGA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45117-2021</t>
        </is>
      </c>
      <c r="B124" s="1" t="n">
        <v>44439</v>
      </c>
      <c r="C124" s="1" t="n">
        <v>45566</v>
      </c>
      <c r="D124" t="inlineStr">
        <is>
          <t>ÖREBRO LÄN</t>
        </is>
      </c>
      <c r="E124" t="inlineStr">
        <is>
          <t>KARLSKOGA</t>
        </is>
      </c>
      <c r="G124" t="n">
        <v>6.5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46605-2021</t>
        </is>
      </c>
      <c r="B125" s="1" t="n">
        <v>44445</v>
      </c>
      <c r="C125" s="1" t="n">
        <v>45566</v>
      </c>
      <c r="D125" t="inlineStr">
        <is>
          <t>ÖREBRO LÄN</t>
        </is>
      </c>
      <c r="E125" t="inlineStr">
        <is>
          <t>KARLSKOGA</t>
        </is>
      </c>
      <c r="F125" t="inlineStr">
        <is>
          <t>Sveaskog</t>
        </is>
      </c>
      <c r="G125" t="n">
        <v>3.6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47669-2021</t>
        </is>
      </c>
      <c r="B126" s="1" t="n">
        <v>44448</v>
      </c>
      <c r="C126" s="1" t="n">
        <v>45566</v>
      </c>
      <c r="D126" t="inlineStr">
        <is>
          <t>ÖREBRO LÄN</t>
        </is>
      </c>
      <c r="E126" t="inlineStr">
        <is>
          <t>KARLSKOGA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48716-2021</t>
        </is>
      </c>
      <c r="B127" s="1" t="n">
        <v>44452</v>
      </c>
      <c r="C127" s="1" t="n">
        <v>45566</v>
      </c>
      <c r="D127" t="inlineStr">
        <is>
          <t>ÖREBRO LÄN</t>
        </is>
      </c>
      <c r="E127" t="inlineStr">
        <is>
          <t>KARLSKOGA</t>
        </is>
      </c>
      <c r="F127" t="inlineStr">
        <is>
          <t>Sveaskog</t>
        </is>
      </c>
      <c r="G127" t="n">
        <v>6.3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48710-2021</t>
        </is>
      </c>
      <c r="B128" s="1" t="n">
        <v>44452</v>
      </c>
      <c r="C128" s="1" t="n">
        <v>45566</v>
      </c>
      <c r="D128" t="inlineStr">
        <is>
          <t>ÖREBRO LÄN</t>
        </is>
      </c>
      <c r="E128" t="inlineStr">
        <is>
          <t>KARLSKOGA</t>
        </is>
      </c>
      <c r="F128" t="inlineStr">
        <is>
          <t>Sveaskog</t>
        </is>
      </c>
      <c r="G128" t="n">
        <v>3.9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48724-2021</t>
        </is>
      </c>
      <c r="B129" s="1" t="n">
        <v>44452</v>
      </c>
      <c r="C129" s="1" t="n">
        <v>45566</v>
      </c>
      <c r="D129" t="inlineStr">
        <is>
          <t>ÖREBRO LÄN</t>
        </is>
      </c>
      <c r="E129" t="inlineStr">
        <is>
          <t>KARLSKOGA</t>
        </is>
      </c>
      <c r="F129" t="inlineStr">
        <is>
          <t>Sveaskog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48720-2021</t>
        </is>
      </c>
      <c r="B130" s="1" t="n">
        <v>44452</v>
      </c>
      <c r="C130" s="1" t="n">
        <v>45566</v>
      </c>
      <c r="D130" t="inlineStr">
        <is>
          <t>ÖREBRO LÄN</t>
        </is>
      </c>
      <c r="E130" t="inlineStr">
        <is>
          <t>KARLSKOGA</t>
        </is>
      </c>
      <c r="F130" t="inlineStr">
        <is>
          <t>Sveaskog</t>
        </is>
      </c>
      <c r="G130" t="n">
        <v>3.5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49363-2021</t>
        </is>
      </c>
      <c r="B131" s="1" t="n">
        <v>44453</v>
      </c>
      <c r="C131" s="1" t="n">
        <v>45566</v>
      </c>
      <c r="D131" t="inlineStr">
        <is>
          <t>ÖREBRO LÄN</t>
        </is>
      </c>
      <c r="E131" t="inlineStr">
        <is>
          <t>KARLSKOGA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49998-2021</t>
        </is>
      </c>
      <c r="B132" s="1" t="n">
        <v>44453</v>
      </c>
      <c r="C132" s="1" t="n">
        <v>45566</v>
      </c>
      <c r="D132" t="inlineStr">
        <is>
          <t>ÖREBRO LÄN</t>
        </is>
      </c>
      <c r="E132" t="inlineStr">
        <is>
          <t>KARLSKOGA</t>
        </is>
      </c>
      <c r="G132" t="n">
        <v>2.8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50991-2021</t>
        </is>
      </c>
      <c r="B133" s="1" t="n">
        <v>44460</v>
      </c>
      <c r="C133" s="1" t="n">
        <v>45566</v>
      </c>
      <c r="D133" t="inlineStr">
        <is>
          <t>ÖREBRO LÄN</t>
        </is>
      </c>
      <c r="E133" t="inlineStr">
        <is>
          <t>KARLSKOGA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52804-2021</t>
        </is>
      </c>
      <c r="B134" s="1" t="n">
        <v>44467</v>
      </c>
      <c r="C134" s="1" t="n">
        <v>45566</v>
      </c>
      <c r="D134" t="inlineStr">
        <is>
          <t>ÖREBRO LÄN</t>
        </is>
      </c>
      <c r="E134" t="inlineStr">
        <is>
          <t>KARLSKOGA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52797-2021</t>
        </is>
      </c>
      <c r="B135" s="1" t="n">
        <v>44467</v>
      </c>
      <c r="C135" s="1" t="n">
        <v>45566</v>
      </c>
      <c r="D135" t="inlineStr">
        <is>
          <t>ÖREBRO LÄN</t>
        </is>
      </c>
      <c r="E135" t="inlineStr">
        <is>
          <t>KARLSKOGA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52807-2021</t>
        </is>
      </c>
      <c r="B136" s="1" t="n">
        <v>44467</v>
      </c>
      <c r="C136" s="1" t="n">
        <v>45566</v>
      </c>
      <c r="D136" t="inlineStr">
        <is>
          <t>ÖREBRO LÄN</t>
        </is>
      </c>
      <c r="E136" t="inlineStr">
        <is>
          <t>KARLSKOGA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54680-2021</t>
        </is>
      </c>
      <c r="B137" s="1" t="n">
        <v>44473</v>
      </c>
      <c r="C137" s="1" t="n">
        <v>45566</v>
      </c>
      <c r="D137" t="inlineStr">
        <is>
          <t>ÖREBRO LÄN</t>
        </is>
      </c>
      <c r="E137" t="inlineStr">
        <is>
          <t>KARLSKOGA</t>
        </is>
      </c>
      <c r="G137" t="n">
        <v>2.9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56435-2021</t>
        </is>
      </c>
      <c r="B138" s="1" t="n">
        <v>44480</v>
      </c>
      <c r="C138" s="1" t="n">
        <v>45566</v>
      </c>
      <c r="D138" t="inlineStr">
        <is>
          <t>ÖREBRO LÄN</t>
        </is>
      </c>
      <c r="E138" t="inlineStr">
        <is>
          <t>KARLSKOGA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57422-2021</t>
        </is>
      </c>
      <c r="B139" s="1" t="n">
        <v>44483</v>
      </c>
      <c r="C139" s="1" t="n">
        <v>45566</v>
      </c>
      <c r="D139" t="inlineStr">
        <is>
          <t>ÖREBRO LÄN</t>
        </is>
      </c>
      <c r="E139" t="inlineStr">
        <is>
          <t>KARLSKOGA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63671-2021</t>
        </is>
      </c>
      <c r="B140" s="1" t="n">
        <v>44508</v>
      </c>
      <c r="C140" s="1" t="n">
        <v>45566</v>
      </c>
      <c r="D140" t="inlineStr">
        <is>
          <t>ÖREBRO LÄN</t>
        </is>
      </c>
      <c r="E140" t="inlineStr">
        <is>
          <t>KARLSKOGA</t>
        </is>
      </c>
      <c r="F140" t="inlineStr">
        <is>
          <t>Kommuner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64133-2021</t>
        </is>
      </c>
      <c r="B141" s="1" t="n">
        <v>44510</v>
      </c>
      <c r="C141" s="1" t="n">
        <v>45566</v>
      </c>
      <c r="D141" t="inlineStr">
        <is>
          <t>ÖREBRO LÄN</t>
        </is>
      </c>
      <c r="E141" t="inlineStr">
        <is>
          <t>KARLSKOGA</t>
        </is>
      </c>
      <c r="G141" t="n">
        <v>3.7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64089-2021</t>
        </is>
      </c>
      <c r="B142" s="1" t="n">
        <v>44510</v>
      </c>
      <c r="C142" s="1" t="n">
        <v>45566</v>
      </c>
      <c r="D142" t="inlineStr">
        <is>
          <t>ÖREBRO LÄN</t>
        </is>
      </c>
      <c r="E142" t="inlineStr">
        <is>
          <t>KARLSKOGA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64275-2021</t>
        </is>
      </c>
      <c r="B143" s="1" t="n">
        <v>44510</v>
      </c>
      <c r="C143" s="1" t="n">
        <v>45566</v>
      </c>
      <c r="D143" t="inlineStr">
        <is>
          <t>ÖREBRO LÄN</t>
        </is>
      </c>
      <c r="E143" t="inlineStr">
        <is>
          <t>KARLSKOGA</t>
        </is>
      </c>
      <c r="G143" t="n">
        <v>3.6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64869-2021</t>
        </is>
      </c>
      <c r="B144" s="1" t="n">
        <v>44512</v>
      </c>
      <c r="C144" s="1" t="n">
        <v>45566</v>
      </c>
      <c r="D144" t="inlineStr">
        <is>
          <t>ÖREBRO LÄN</t>
        </is>
      </c>
      <c r="E144" t="inlineStr">
        <is>
          <t>KARLSKOGA</t>
        </is>
      </c>
      <c r="F144" t="inlineStr">
        <is>
          <t>Sveaskog</t>
        </is>
      </c>
      <c r="G144" t="n">
        <v>3.6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70206-2021</t>
        </is>
      </c>
      <c r="B145" s="1" t="n">
        <v>44535</v>
      </c>
      <c r="C145" s="1" t="n">
        <v>45566</v>
      </c>
      <c r="D145" t="inlineStr">
        <is>
          <t>ÖREBRO LÄN</t>
        </is>
      </c>
      <c r="E145" t="inlineStr">
        <is>
          <t>KARLSKOGA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71405-2021</t>
        </is>
      </c>
      <c r="B146" s="1" t="n">
        <v>44540</v>
      </c>
      <c r="C146" s="1" t="n">
        <v>45566</v>
      </c>
      <c r="D146" t="inlineStr">
        <is>
          <t>ÖREBRO LÄN</t>
        </is>
      </c>
      <c r="E146" t="inlineStr">
        <is>
          <t>KARLSKOGA</t>
        </is>
      </c>
      <c r="F146" t="inlineStr">
        <is>
          <t>Sveaskog</t>
        </is>
      </c>
      <c r="G146" t="n">
        <v>2.7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72803-2021</t>
        </is>
      </c>
      <c r="B147" s="1" t="n">
        <v>44546</v>
      </c>
      <c r="C147" s="1" t="n">
        <v>45566</v>
      </c>
      <c r="D147" t="inlineStr">
        <is>
          <t>ÖREBRO LÄN</t>
        </is>
      </c>
      <c r="E147" t="inlineStr">
        <is>
          <t>KARLSKOGA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73701-2021</t>
        </is>
      </c>
      <c r="B148" s="1" t="n">
        <v>44552</v>
      </c>
      <c r="C148" s="1" t="n">
        <v>45566</v>
      </c>
      <c r="D148" t="inlineStr">
        <is>
          <t>ÖREBRO LÄN</t>
        </is>
      </c>
      <c r="E148" t="inlineStr">
        <is>
          <t>KARLSKOGA</t>
        </is>
      </c>
      <c r="F148" t="inlineStr">
        <is>
          <t>Sveaskog</t>
        </is>
      </c>
      <c r="G148" t="n">
        <v>2.9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3537-2022</t>
        </is>
      </c>
      <c r="B149" s="1" t="n">
        <v>44585</v>
      </c>
      <c r="C149" s="1" t="n">
        <v>45566</v>
      </c>
      <c r="D149" t="inlineStr">
        <is>
          <t>ÖREBRO LÄN</t>
        </is>
      </c>
      <c r="E149" t="inlineStr">
        <is>
          <t>KARLSKOGA</t>
        </is>
      </c>
      <c r="G149" t="n">
        <v>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4164-2022</t>
        </is>
      </c>
      <c r="B150" s="1" t="n">
        <v>44588</v>
      </c>
      <c r="C150" s="1" t="n">
        <v>45566</v>
      </c>
      <c r="D150" t="inlineStr">
        <is>
          <t>ÖREBRO LÄN</t>
        </is>
      </c>
      <c r="E150" t="inlineStr">
        <is>
          <t>KARLSKOGA</t>
        </is>
      </c>
      <c r="F150" t="inlineStr">
        <is>
          <t>Kommuner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4058-2022</t>
        </is>
      </c>
      <c r="B151" s="1" t="n">
        <v>44588</v>
      </c>
      <c r="C151" s="1" t="n">
        <v>45566</v>
      </c>
      <c r="D151" t="inlineStr">
        <is>
          <t>ÖREBRO LÄN</t>
        </is>
      </c>
      <c r="E151" t="inlineStr">
        <is>
          <t>KARLSKOGA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4537-2022</t>
        </is>
      </c>
      <c r="B152" s="1" t="n">
        <v>44590</v>
      </c>
      <c r="C152" s="1" t="n">
        <v>45566</v>
      </c>
      <c r="D152" t="inlineStr">
        <is>
          <t>ÖREBRO LÄN</t>
        </is>
      </c>
      <c r="E152" t="inlineStr">
        <is>
          <t>KARLSKOGA</t>
        </is>
      </c>
      <c r="G152" t="n">
        <v>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5339-2022</t>
        </is>
      </c>
      <c r="B153" s="1" t="n">
        <v>44594</v>
      </c>
      <c r="C153" s="1" t="n">
        <v>45566</v>
      </c>
      <c r="D153" t="inlineStr">
        <is>
          <t>ÖREBRO LÄN</t>
        </is>
      </c>
      <c r="E153" t="inlineStr">
        <is>
          <t>KARLSKOGA</t>
        </is>
      </c>
      <c r="G153" t="n">
        <v>5.7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10404-2022</t>
        </is>
      </c>
      <c r="B154" s="1" t="n">
        <v>44623</v>
      </c>
      <c r="C154" s="1" t="n">
        <v>45566</v>
      </c>
      <c r="D154" t="inlineStr">
        <is>
          <t>ÖREBRO LÄN</t>
        </is>
      </c>
      <c r="E154" t="inlineStr">
        <is>
          <t>KARLSKOGA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11081-2022</t>
        </is>
      </c>
      <c r="B155" s="1" t="n">
        <v>44628</v>
      </c>
      <c r="C155" s="1" t="n">
        <v>45566</v>
      </c>
      <c r="D155" t="inlineStr">
        <is>
          <t>ÖREBRO LÄN</t>
        </is>
      </c>
      <c r="E155" t="inlineStr">
        <is>
          <t>KARLSKOGA</t>
        </is>
      </c>
      <c r="F155" t="inlineStr">
        <is>
          <t>Sveaskog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13454-2022</t>
        </is>
      </c>
      <c r="B156" s="1" t="n">
        <v>44645</v>
      </c>
      <c r="C156" s="1" t="n">
        <v>45566</v>
      </c>
      <c r="D156" t="inlineStr">
        <is>
          <t>ÖREBRO LÄN</t>
        </is>
      </c>
      <c r="E156" t="inlineStr">
        <is>
          <t>KARLSKOGA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21612-2022</t>
        </is>
      </c>
      <c r="B157" s="1" t="n">
        <v>44706</v>
      </c>
      <c r="C157" s="1" t="n">
        <v>45566</v>
      </c>
      <c r="D157" t="inlineStr">
        <is>
          <t>ÖREBRO LÄN</t>
        </is>
      </c>
      <c r="E157" t="inlineStr">
        <is>
          <t>KARLSKOGA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21622-2022</t>
        </is>
      </c>
      <c r="B158" s="1" t="n">
        <v>44706</v>
      </c>
      <c r="C158" s="1" t="n">
        <v>45566</v>
      </c>
      <c r="D158" t="inlineStr">
        <is>
          <t>ÖREBRO LÄN</t>
        </is>
      </c>
      <c r="E158" t="inlineStr">
        <is>
          <t>KARLSKOGA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22861-2022</t>
        </is>
      </c>
      <c r="B159" s="1" t="n">
        <v>44715</v>
      </c>
      <c r="C159" s="1" t="n">
        <v>45566</v>
      </c>
      <c r="D159" t="inlineStr">
        <is>
          <t>ÖREBRO LÄN</t>
        </is>
      </c>
      <c r="E159" t="inlineStr">
        <is>
          <t>KARLSKOGA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22867-2022</t>
        </is>
      </c>
      <c r="B160" s="1" t="n">
        <v>44715</v>
      </c>
      <c r="C160" s="1" t="n">
        <v>45566</v>
      </c>
      <c r="D160" t="inlineStr">
        <is>
          <t>ÖREBRO LÄN</t>
        </is>
      </c>
      <c r="E160" t="inlineStr">
        <is>
          <t>KARLSKOGA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23263-2022</t>
        </is>
      </c>
      <c r="B161" s="1" t="n">
        <v>44720</v>
      </c>
      <c r="C161" s="1" t="n">
        <v>45566</v>
      </c>
      <c r="D161" t="inlineStr">
        <is>
          <t>ÖREBRO LÄN</t>
        </is>
      </c>
      <c r="E161" t="inlineStr">
        <is>
          <t>KARLSKOGA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25548-2022</t>
        </is>
      </c>
      <c r="B162" s="1" t="n">
        <v>44732</v>
      </c>
      <c r="C162" s="1" t="n">
        <v>45566</v>
      </c>
      <c r="D162" t="inlineStr">
        <is>
          <t>ÖREBRO LÄN</t>
        </is>
      </c>
      <c r="E162" t="inlineStr">
        <is>
          <t>KARLSKOGA</t>
        </is>
      </c>
      <c r="G162" t="n">
        <v>2.3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29264-2022</t>
        </is>
      </c>
      <c r="B163" s="1" t="n">
        <v>44750</v>
      </c>
      <c r="C163" s="1" t="n">
        <v>45566</v>
      </c>
      <c r="D163" t="inlineStr">
        <is>
          <t>ÖREBRO LÄN</t>
        </is>
      </c>
      <c r="E163" t="inlineStr">
        <is>
          <t>KARLSKOGA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29268-2022</t>
        </is>
      </c>
      <c r="B164" s="1" t="n">
        <v>44750</v>
      </c>
      <c r="C164" s="1" t="n">
        <v>45566</v>
      </c>
      <c r="D164" t="inlineStr">
        <is>
          <t>ÖREBRO LÄN</t>
        </is>
      </c>
      <c r="E164" t="inlineStr">
        <is>
          <t>KARLSKOGA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30961-2022</t>
        </is>
      </c>
      <c r="B165" s="1" t="n">
        <v>44768</v>
      </c>
      <c r="C165" s="1" t="n">
        <v>45566</v>
      </c>
      <c r="D165" t="inlineStr">
        <is>
          <t>ÖREBRO LÄN</t>
        </is>
      </c>
      <c r="E165" t="inlineStr">
        <is>
          <t>KARLSKOGA</t>
        </is>
      </c>
      <c r="F165" t="inlineStr">
        <is>
          <t>Kommuner</t>
        </is>
      </c>
      <c r="G165" t="n">
        <v>3.3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31698-2022</t>
        </is>
      </c>
      <c r="B166" s="1" t="n">
        <v>44776</v>
      </c>
      <c r="C166" s="1" t="n">
        <v>45566</v>
      </c>
      <c r="D166" t="inlineStr">
        <is>
          <t>ÖREBRO LÄN</t>
        </is>
      </c>
      <c r="E166" t="inlineStr">
        <is>
          <t>KARLSKOGA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31921-2022</t>
        </is>
      </c>
      <c r="B167" s="1" t="n">
        <v>44777</v>
      </c>
      <c r="C167" s="1" t="n">
        <v>45566</v>
      </c>
      <c r="D167" t="inlineStr">
        <is>
          <t>ÖREBRO LÄN</t>
        </is>
      </c>
      <c r="E167" t="inlineStr">
        <is>
          <t>KARLSKOGA</t>
        </is>
      </c>
      <c r="G167" t="n">
        <v>2.4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37584-2022</t>
        </is>
      </c>
      <c r="B168" s="1" t="n">
        <v>44809</v>
      </c>
      <c r="C168" s="1" t="n">
        <v>45566</v>
      </c>
      <c r="D168" t="inlineStr">
        <is>
          <t>ÖREBRO LÄN</t>
        </is>
      </c>
      <c r="E168" t="inlineStr">
        <is>
          <t>KARLSKOGA</t>
        </is>
      </c>
      <c r="G168" t="n">
        <v>4.9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37582-2022</t>
        </is>
      </c>
      <c r="B169" s="1" t="n">
        <v>44809</v>
      </c>
      <c r="C169" s="1" t="n">
        <v>45566</v>
      </c>
      <c r="D169" t="inlineStr">
        <is>
          <t>ÖREBRO LÄN</t>
        </is>
      </c>
      <c r="E169" t="inlineStr">
        <is>
          <t>KARLSKOGA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38012-2022</t>
        </is>
      </c>
      <c r="B170" s="1" t="n">
        <v>44811</v>
      </c>
      <c r="C170" s="1" t="n">
        <v>45566</v>
      </c>
      <c r="D170" t="inlineStr">
        <is>
          <t>ÖREBRO LÄN</t>
        </is>
      </c>
      <c r="E170" t="inlineStr">
        <is>
          <t>KARLSKOGA</t>
        </is>
      </c>
      <c r="G170" t="n">
        <v>3.7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38301-2022</t>
        </is>
      </c>
      <c r="B171" s="1" t="n">
        <v>44812</v>
      </c>
      <c r="C171" s="1" t="n">
        <v>45566</v>
      </c>
      <c r="D171" t="inlineStr">
        <is>
          <t>ÖREBRO LÄN</t>
        </is>
      </c>
      <c r="E171" t="inlineStr">
        <is>
          <t>KARLSKOGA</t>
        </is>
      </c>
      <c r="F171" t="inlineStr">
        <is>
          <t>Sveaskog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38382-2022</t>
        </is>
      </c>
      <c r="B172" s="1" t="n">
        <v>44812</v>
      </c>
      <c r="C172" s="1" t="n">
        <v>45566</v>
      </c>
      <c r="D172" t="inlineStr">
        <is>
          <t>ÖREBRO LÄN</t>
        </is>
      </c>
      <c r="E172" t="inlineStr">
        <is>
          <t>KARLSKOGA</t>
        </is>
      </c>
      <c r="F172" t="inlineStr">
        <is>
          <t>Kyrkan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39025-2022</t>
        </is>
      </c>
      <c r="B173" s="1" t="n">
        <v>44817</v>
      </c>
      <c r="C173" s="1" t="n">
        <v>45566</v>
      </c>
      <c r="D173" t="inlineStr">
        <is>
          <t>ÖREBRO LÄN</t>
        </is>
      </c>
      <c r="E173" t="inlineStr">
        <is>
          <t>KARLSKOGA</t>
        </is>
      </c>
      <c r="F173" t="inlineStr">
        <is>
          <t>Sveaskog</t>
        </is>
      </c>
      <c r="G173" t="n">
        <v>3.2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39030-2022</t>
        </is>
      </c>
      <c r="B174" s="1" t="n">
        <v>44817</v>
      </c>
      <c r="C174" s="1" t="n">
        <v>45566</v>
      </c>
      <c r="D174" t="inlineStr">
        <is>
          <t>ÖREBRO LÄN</t>
        </is>
      </c>
      <c r="E174" t="inlineStr">
        <is>
          <t>KARLSKOGA</t>
        </is>
      </c>
      <c r="F174" t="inlineStr">
        <is>
          <t>Sveaskog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39027-2022</t>
        </is>
      </c>
      <c r="B175" s="1" t="n">
        <v>44817</v>
      </c>
      <c r="C175" s="1" t="n">
        <v>45566</v>
      </c>
      <c r="D175" t="inlineStr">
        <is>
          <t>ÖREBRO LÄN</t>
        </is>
      </c>
      <c r="E175" t="inlineStr">
        <is>
          <t>KARLSKOGA</t>
        </is>
      </c>
      <c r="F175" t="inlineStr">
        <is>
          <t>Sveaskog</t>
        </is>
      </c>
      <c r="G175" t="n">
        <v>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39337-2022</t>
        </is>
      </c>
      <c r="B176" s="1" t="n">
        <v>44817</v>
      </c>
      <c r="C176" s="1" t="n">
        <v>45566</v>
      </c>
      <c r="D176" t="inlineStr">
        <is>
          <t>ÖREBRO LÄN</t>
        </is>
      </c>
      <c r="E176" t="inlineStr">
        <is>
          <t>KARLSKOGA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39544-2022</t>
        </is>
      </c>
      <c r="B177" s="1" t="n">
        <v>44818</v>
      </c>
      <c r="C177" s="1" t="n">
        <v>45566</v>
      </c>
      <c r="D177" t="inlineStr">
        <is>
          <t>ÖREBRO LÄN</t>
        </is>
      </c>
      <c r="E177" t="inlineStr">
        <is>
          <t>KARLSKOGA</t>
        </is>
      </c>
      <c r="F177" t="inlineStr">
        <is>
          <t>Kyrkan</t>
        </is>
      </c>
      <c r="G177" t="n">
        <v>3.3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45800-2022</t>
        </is>
      </c>
      <c r="B178" s="1" t="n">
        <v>44846</v>
      </c>
      <c r="C178" s="1" t="n">
        <v>45566</v>
      </c>
      <c r="D178" t="inlineStr">
        <is>
          <t>ÖREBRO LÄN</t>
        </is>
      </c>
      <c r="E178" t="inlineStr">
        <is>
          <t>KARLSKOGA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48190-2022</t>
        </is>
      </c>
      <c r="B179" s="1" t="n">
        <v>44858</v>
      </c>
      <c r="C179" s="1" t="n">
        <v>45566</v>
      </c>
      <c r="D179" t="inlineStr">
        <is>
          <t>ÖREBRO LÄN</t>
        </is>
      </c>
      <c r="E179" t="inlineStr">
        <is>
          <t>KARLSKOGA</t>
        </is>
      </c>
      <c r="F179" t="inlineStr">
        <is>
          <t>Kyrkan</t>
        </is>
      </c>
      <c r="G179" t="n">
        <v>6.1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50692-2022</t>
        </is>
      </c>
      <c r="B180" s="1" t="n">
        <v>44867</v>
      </c>
      <c r="C180" s="1" t="n">
        <v>45566</v>
      </c>
      <c r="D180" t="inlineStr">
        <is>
          <t>ÖREBRO LÄN</t>
        </is>
      </c>
      <c r="E180" t="inlineStr">
        <is>
          <t>KARLSKOGA</t>
        </is>
      </c>
      <c r="G180" t="n">
        <v>10.7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54860-2022</t>
        </is>
      </c>
      <c r="B181" s="1" t="n">
        <v>44884</v>
      </c>
      <c r="C181" s="1" t="n">
        <v>45566</v>
      </c>
      <c r="D181" t="inlineStr">
        <is>
          <t>ÖREBRO LÄN</t>
        </is>
      </c>
      <c r="E181" t="inlineStr">
        <is>
          <t>KARLSKOGA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54859-2022</t>
        </is>
      </c>
      <c r="B182" s="1" t="n">
        <v>44884</v>
      </c>
      <c r="C182" s="1" t="n">
        <v>45566</v>
      </c>
      <c r="D182" t="inlineStr">
        <is>
          <t>ÖREBRO LÄN</t>
        </is>
      </c>
      <c r="E182" t="inlineStr">
        <is>
          <t>KARLSKOGA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57743-2022</t>
        </is>
      </c>
      <c r="B183" s="1" t="n">
        <v>44890</v>
      </c>
      <c r="C183" s="1" t="n">
        <v>45566</v>
      </c>
      <c r="D183" t="inlineStr">
        <is>
          <t>ÖREBRO LÄN</t>
        </is>
      </c>
      <c r="E183" t="inlineStr">
        <is>
          <t>KARLSKOGA</t>
        </is>
      </c>
      <c r="G183" t="n">
        <v>5.2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56887-2022</t>
        </is>
      </c>
      <c r="B184" s="1" t="n">
        <v>44894</v>
      </c>
      <c r="C184" s="1" t="n">
        <v>45566</v>
      </c>
      <c r="D184" t="inlineStr">
        <is>
          <t>ÖREBRO LÄN</t>
        </is>
      </c>
      <c r="E184" t="inlineStr">
        <is>
          <t>KARLSKOGA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57197-2022</t>
        </is>
      </c>
      <c r="B185" s="1" t="n">
        <v>44895</v>
      </c>
      <c r="C185" s="1" t="n">
        <v>45566</v>
      </c>
      <c r="D185" t="inlineStr">
        <is>
          <t>ÖREBRO LÄN</t>
        </is>
      </c>
      <c r="E185" t="inlineStr">
        <is>
          <t>KARLSKOGA</t>
        </is>
      </c>
      <c r="F185" t="inlineStr">
        <is>
          <t>Kyrkan</t>
        </is>
      </c>
      <c r="G185" t="n">
        <v>5.8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57377-2022</t>
        </is>
      </c>
      <c r="B186" s="1" t="n">
        <v>44896</v>
      </c>
      <c r="C186" s="1" t="n">
        <v>45566</v>
      </c>
      <c r="D186" t="inlineStr">
        <is>
          <t>ÖREBRO LÄN</t>
        </is>
      </c>
      <c r="E186" t="inlineStr">
        <is>
          <t>KARLSKOGA</t>
        </is>
      </c>
      <c r="F186" t="inlineStr">
        <is>
          <t>Sveaskog</t>
        </is>
      </c>
      <c r="G186" t="n">
        <v>3.3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58091-2022</t>
        </is>
      </c>
      <c r="B187" s="1" t="n">
        <v>44900</v>
      </c>
      <c r="C187" s="1" t="n">
        <v>45566</v>
      </c>
      <c r="D187" t="inlineStr">
        <is>
          <t>ÖREBRO LÄN</t>
        </is>
      </c>
      <c r="E187" t="inlineStr">
        <is>
          <t>KARLSKOGA</t>
        </is>
      </c>
      <c r="F187" t="inlineStr">
        <is>
          <t>Sveaskog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61271-2022</t>
        </is>
      </c>
      <c r="B188" s="1" t="n">
        <v>44909</v>
      </c>
      <c r="C188" s="1" t="n">
        <v>45566</v>
      </c>
      <c r="D188" t="inlineStr">
        <is>
          <t>ÖREBRO LÄN</t>
        </is>
      </c>
      <c r="E188" t="inlineStr">
        <is>
          <t>KARLSKOGA</t>
        </is>
      </c>
      <c r="F188" t="inlineStr">
        <is>
          <t>Övriga Aktiebolag</t>
        </is>
      </c>
      <c r="G188" t="n">
        <v>14.1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2534-2023</t>
        </is>
      </c>
      <c r="B189" s="1" t="n">
        <v>44943</v>
      </c>
      <c r="C189" s="1" t="n">
        <v>45566</v>
      </c>
      <c r="D189" t="inlineStr">
        <is>
          <t>ÖREBRO LÄN</t>
        </is>
      </c>
      <c r="E189" t="inlineStr">
        <is>
          <t>KARLSKOGA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7908-2023</t>
        </is>
      </c>
      <c r="B190" s="1" t="n">
        <v>44973</v>
      </c>
      <c r="C190" s="1" t="n">
        <v>45566</v>
      </c>
      <c r="D190" t="inlineStr">
        <is>
          <t>ÖREBRO LÄN</t>
        </is>
      </c>
      <c r="E190" t="inlineStr">
        <is>
          <t>KARLSKOGA</t>
        </is>
      </c>
      <c r="F190" t="inlineStr">
        <is>
          <t>Sveaskog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7907-2023</t>
        </is>
      </c>
      <c r="B191" s="1" t="n">
        <v>44973</v>
      </c>
      <c r="C191" s="1" t="n">
        <v>45566</v>
      </c>
      <c r="D191" t="inlineStr">
        <is>
          <t>ÖREBRO LÄN</t>
        </is>
      </c>
      <c r="E191" t="inlineStr">
        <is>
          <t>KARLSKOGA</t>
        </is>
      </c>
      <c r="F191" t="inlineStr">
        <is>
          <t>Sveaskog</t>
        </is>
      </c>
      <c r="G191" t="n">
        <v>3.9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8990-2023</t>
        </is>
      </c>
      <c r="B192" s="1" t="n">
        <v>44979</v>
      </c>
      <c r="C192" s="1" t="n">
        <v>45566</v>
      </c>
      <c r="D192" t="inlineStr">
        <is>
          <t>ÖREBRO LÄN</t>
        </is>
      </c>
      <c r="E192" t="inlineStr">
        <is>
          <t>KARLSKOGA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9510-2023</t>
        </is>
      </c>
      <c r="B193" s="1" t="n">
        <v>44981</v>
      </c>
      <c r="C193" s="1" t="n">
        <v>45566</v>
      </c>
      <c r="D193" t="inlineStr">
        <is>
          <t>ÖREBRO LÄN</t>
        </is>
      </c>
      <c r="E193" t="inlineStr">
        <is>
          <t>KARLSKOGA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10230-2023</t>
        </is>
      </c>
      <c r="B194" s="1" t="n">
        <v>44986</v>
      </c>
      <c r="C194" s="1" t="n">
        <v>45566</v>
      </c>
      <c r="D194" t="inlineStr">
        <is>
          <t>ÖREBRO LÄN</t>
        </is>
      </c>
      <c r="E194" t="inlineStr">
        <is>
          <t>KARLSKOGA</t>
        </is>
      </c>
      <c r="F194" t="inlineStr">
        <is>
          <t>Kyrkan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10515-2023</t>
        </is>
      </c>
      <c r="B195" s="1" t="n">
        <v>44987</v>
      </c>
      <c r="C195" s="1" t="n">
        <v>45566</v>
      </c>
      <c r="D195" t="inlineStr">
        <is>
          <t>ÖREBRO LÄN</t>
        </is>
      </c>
      <c r="E195" t="inlineStr">
        <is>
          <t>KARLSKOGA</t>
        </is>
      </c>
      <c r="G195" t="n">
        <v>1.9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10743-2023</t>
        </is>
      </c>
      <c r="B196" s="1" t="n">
        <v>44988</v>
      </c>
      <c r="C196" s="1" t="n">
        <v>45566</v>
      </c>
      <c r="D196" t="inlineStr">
        <is>
          <t>ÖREBRO LÄN</t>
        </is>
      </c>
      <c r="E196" t="inlineStr">
        <is>
          <t>KARLSKOGA</t>
        </is>
      </c>
      <c r="F196" t="inlineStr">
        <is>
          <t>Kyrkan</t>
        </is>
      </c>
      <c r="G196" t="n">
        <v>2.4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10816-2023</t>
        </is>
      </c>
      <c r="B197" s="1" t="n">
        <v>44990</v>
      </c>
      <c r="C197" s="1" t="n">
        <v>45566</v>
      </c>
      <c r="D197" t="inlineStr">
        <is>
          <t>ÖREBRO LÄN</t>
        </is>
      </c>
      <c r="E197" t="inlineStr">
        <is>
          <t>KARLSKOGA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14174-2023</t>
        </is>
      </c>
      <c r="B198" s="1" t="n">
        <v>45009</v>
      </c>
      <c r="C198" s="1" t="n">
        <v>45566</v>
      </c>
      <c r="D198" t="inlineStr">
        <is>
          <t>ÖREBRO LÄN</t>
        </is>
      </c>
      <c r="E198" t="inlineStr">
        <is>
          <t>KARLSKOGA</t>
        </is>
      </c>
      <c r="F198" t="inlineStr">
        <is>
          <t>Kyrkan</t>
        </is>
      </c>
      <c r="G198" t="n">
        <v>3.8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14352-2023</t>
        </is>
      </c>
      <c r="B199" s="1" t="n">
        <v>45012</v>
      </c>
      <c r="C199" s="1" t="n">
        <v>45566</v>
      </c>
      <c r="D199" t="inlineStr">
        <is>
          <t>ÖREBRO LÄN</t>
        </is>
      </c>
      <c r="E199" t="inlineStr">
        <is>
          <t>KARLSKOGA</t>
        </is>
      </c>
      <c r="G199" t="n">
        <v>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16881-2023</t>
        </is>
      </c>
      <c r="B200" s="1" t="n">
        <v>45033</v>
      </c>
      <c r="C200" s="1" t="n">
        <v>45566</v>
      </c>
      <c r="D200" t="inlineStr">
        <is>
          <t>ÖREBRO LÄN</t>
        </is>
      </c>
      <c r="E200" t="inlineStr">
        <is>
          <t>KARLSKOGA</t>
        </is>
      </c>
      <c r="F200" t="inlineStr">
        <is>
          <t>Kyrkan</t>
        </is>
      </c>
      <c r="G200" t="n">
        <v>2.3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17386-2023</t>
        </is>
      </c>
      <c r="B201" s="1" t="n">
        <v>45035</v>
      </c>
      <c r="C201" s="1" t="n">
        <v>45566</v>
      </c>
      <c r="D201" t="inlineStr">
        <is>
          <t>ÖREBRO LÄN</t>
        </is>
      </c>
      <c r="E201" t="inlineStr">
        <is>
          <t>KARLSKOGA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21388-2023</t>
        </is>
      </c>
      <c r="B202" s="1" t="n">
        <v>45063</v>
      </c>
      <c r="C202" s="1" t="n">
        <v>45566</v>
      </c>
      <c r="D202" t="inlineStr">
        <is>
          <t>ÖREBRO LÄN</t>
        </is>
      </c>
      <c r="E202" t="inlineStr">
        <is>
          <t>KARLSKOGA</t>
        </is>
      </c>
      <c r="G202" t="n">
        <v>4.6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21408-2023</t>
        </is>
      </c>
      <c r="B203" s="1" t="n">
        <v>45063</v>
      </c>
      <c r="C203" s="1" t="n">
        <v>45566</v>
      </c>
      <c r="D203" t="inlineStr">
        <is>
          <t>ÖREBRO LÄN</t>
        </is>
      </c>
      <c r="E203" t="inlineStr">
        <is>
          <t>KARLSKOGA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24077-2023</t>
        </is>
      </c>
      <c r="B204" s="1" t="n">
        <v>45079</v>
      </c>
      <c r="C204" s="1" t="n">
        <v>45566</v>
      </c>
      <c r="D204" t="inlineStr">
        <is>
          <t>ÖREBRO LÄN</t>
        </is>
      </c>
      <c r="E204" t="inlineStr">
        <is>
          <t>KARLSKOGA</t>
        </is>
      </c>
      <c r="F204" t="inlineStr">
        <is>
          <t>Sveaskog</t>
        </is>
      </c>
      <c r="G204" t="n">
        <v>3.1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24078-2023</t>
        </is>
      </c>
      <c r="B205" s="1" t="n">
        <v>45079</v>
      </c>
      <c r="C205" s="1" t="n">
        <v>45566</v>
      </c>
      <c r="D205" t="inlineStr">
        <is>
          <t>ÖREBRO LÄN</t>
        </is>
      </c>
      <c r="E205" t="inlineStr">
        <is>
          <t>KARLSKOGA</t>
        </is>
      </c>
      <c r="F205" t="inlineStr">
        <is>
          <t>Sveaskog</t>
        </is>
      </c>
      <c r="G205" t="n">
        <v>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24076-2023</t>
        </is>
      </c>
      <c r="B206" s="1" t="n">
        <v>45079</v>
      </c>
      <c r="C206" s="1" t="n">
        <v>45566</v>
      </c>
      <c r="D206" t="inlineStr">
        <is>
          <t>ÖREBRO LÄN</t>
        </is>
      </c>
      <c r="E206" t="inlineStr">
        <is>
          <t>KARLSKOGA</t>
        </is>
      </c>
      <c r="F206" t="inlineStr">
        <is>
          <t>Sveaskog</t>
        </is>
      </c>
      <c r="G206" t="n">
        <v>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25014-2023</t>
        </is>
      </c>
      <c r="B207" s="1" t="n">
        <v>45085</v>
      </c>
      <c r="C207" s="1" t="n">
        <v>45566</v>
      </c>
      <c r="D207" t="inlineStr">
        <is>
          <t>ÖREBRO LÄN</t>
        </is>
      </c>
      <c r="E207" t="inlineStr">
        <is>
          <t>KARLSKOGA</t>
        </is>
      </c>
      <c r="F207" t="inlineStr">
        <is>
          <t>Sveaskog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26489-2023</t>
        </is>
      </c>
      <c r="B208" s="1" t="n">
        <v>45092</v>
      </c>
      <c r="C208" s="1" t="n">
        <v>45566</v>
      </c>
      <c r="D208" t="inlineStr">
        <is>
          <t>ÖREBRO LÄN</t>
        </is>
      </c>
      <c r="E208" t="inlineStr">
        <is>
          <t>KARLSKOGA</t>
        </is>
      </c>
      <c r="F208" t="inlineStr">
        <is>
          <t>Sveaskog</t>
        </is>
      </c>
      <c r="G208" t="n">
        <v>3.8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28471-2023</t>
        </is>
      </c>
      <c r="B209" s="1" t="n">
        <v>45103</v>
      </c>
      <c r="C209" s="1" t="n">
        <v>45566</v>
      </c>
      <c r="D209" t="inlineStr">
        <is>
          <t>ÖREBRO LÄN</t>
        </is>
      </c>
      <c r="E209" t="inlineStr">
        <is>
          <t>KARLSKOGA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28474-2023</t>
        </is>
      </c>
      <c r="B210" s="1" t="n">
        <v>45103</v>
      </c>
      <c r="C210" s="1" t="n">
        <v>45566</v>
      </c>
      <c r="D210" t="inlineStr">
        <is>
          <t>ÖREBRO LÄN</t>
        </is>
      </c>
      <c r="E210" t="inlineStr">
        <is>
          <t>KARLSKOGA</t>
        </is>
      </c>
      <c r="G210" t="n">
        <v>5.1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28476-2023</t>
        </is>
      </c>
      <c r="B211" s="1" t="n">
        <v>45103</v>
      </c>
      <c r="C211" s="1" t="n">
        <v>45566</v>
      </c>
      <c r="D211" t="inlineStr">
        <is>
          <t>ÖREBRO LÄN</t>
        </is>
      </c>
      <c r="E211" t="inlineStr">
        <is>
          <t>KARLSKOGA</t>
        </is>
      </c>
      <c r="G211" t="n">
        <v>15.2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29509-2023</t>
        </is>
      </c>
      <c r="B212" s="1" t="n">
        <v>45106</v>
      </c>
      <c r="C212" s="1" t="n">
        <v>45566</v>
      </c>
      <c r="D212" t="inlineStr">
        <is>
          <t>ÖREBRO LÄN</t>
        </is>
      </c>
      <c r="E212" t="inlineStr">
        <is>
          <t>KARLSKOGA</t>
        </is>
      </c>
      <c r="G212" t="n">
        <v>10.8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33002-2023</t>
        </is>
      </c>
      <c r="B213" s="1" t="n">
        <v>45125</v>
      </c>
      <c r="C213" s="1" t="n">
        <v>45566</v>
      </c>
      <c r="D213" t="inlineStr">
        <is>
          <t>ÖREBRO LÄN</t>
        </is>
      </c>
      <c r="E213" t="inlineStr">
        <is>
          <t>KARLSKOGA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33011-2023</t>
        </is>
      </c>
      <c r="B214" s="1" t="n">
        <v>45125</v>
      </c>
      <c r="C214" s="1" t="n">
        <v>45566</v>
      </c>
      <c r="D214" t="inlineStr">
        <is>
          <t>ÖREBRO LÄN</t>
        </is>
      </c>
      <c r="E214" t="inlineStr">
        <is>
          <t>KARLSKOGA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33179-2023</t>
        </is>
      </c>
      <c r="B215" s="1" t="n">
        <v>45127</v>
      </c>
      <c r="C215" s="1" t="n">
        <v>45566</v>
      </c>
      <c r="D215" t="inlineStr">
        <is>
          <t>ÖREBRO LÄN</t>
        </is>
      </c>
      <c r="E215" t="inlineStr">
        <is>
          <t>KARLSKOGA</t>
        </is>
      </c>
      <c r="F215" t="inlineStr">
        <is>
          <t>Sveaskog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33178-2023</t>
        </is>
      </c>
      <c r="B216" s="1" t="n">
        <v>45127</v>
      </c>
      <c r="C216" s="1" t="n">
        <v>45566</v>
      </c>
      <c r="D216" t="inlineStr">
        <is>
          <t>ÖREBRO LÄN</t>
        </is>
      </c>
      <c r="E216" t="inlineStr">
        <is>
          <t>KARLSKOGA</t>
        </is>
      </c>
      <c r="F216" t="inlineStr">
        <is>
          <t>Sveaskog</t>
        </is>
      </c>
      <c r="G216" t="n">
        <v>3.8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33177-2023</t>
        </is>
      </c>
      <c r="B217" s="1" t="n">
        <v>45127</v>
      </c>
      <c r="C217" s="1" t="n">
        <v>45566</v>
      </c>
      <c r="D217" t="inlineStr">
        <is>
          <t>ÖREBRO LÄN</t>
        </is>
      </c>
      <c r="E217" t="inlineStr">
        <is>
          <t>KARLSKOGA</t>
        </is>
      </c>
      <c r="F217" t="inlineStr">
        <is>
          <t>Sveaskog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33345-2023</t>
        </is>
      </c>
      <c r="B218" s="1" t="n">
        <v>45128</v>
      </c>
      <c r="C218" s="1" t="n">
        <v>45566</v>
      </c>
      <c r="D218" t="inlineStr">
        <is>
          <t>ÖREBRO LÄN</t>
        </is>
      </c>
      <c r="E218" t="inlineStr">
        <is>
          <t>KARLSKOGA</t>
        </is>
      </c>
      <c r="F218" t="inlineStr">
        <is>
          <t>Sveaskog</t>
        </is>
      </c>
      <c r="G218" t="n">
        <v>7.6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35930-2023</t>
        </is>
      </c>
      <c r="B219" s="1" t="n">
        <v>45148</v>
      </c>
      <c r="C219" s="1" t="n">
        <v>45566</v>
      </c>
      <c r="D219" t="inlineStr">
        <is>
          <t>ÖREBRO LÄN</t>
        </is>
      </c>
      <c r="E219" t="inlineStr">
        <is>
          <t>KARLSKOGA</t>
        </is>
      </c>
      <c r="F219" t="inlineStr">
        <is>
          <t>Sveaskog</t>
        </is>
      </c>
      <c r="G219" t="n">
        <v>5.2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36869-2023</t>
        </is>
      </c>
      <c r="B220" s="1" t="n">
        <v>45154</v>
      </c>
      <c r="C220" s="1" t="n">
        <v>45566</v>
      </c>
      <c r="D220" t="inlineStr">
        <is>
          <t>ÖREBRO LÄN</t>
        </is>
      </c>
      <c r="E220" t="inlineStr">
        <is>
          <t>KARLSKOGA</t>
        </is>
      </c>
      <c r="F220" t="inlineStr">
        <is>
          <t>Sveaskog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37204-2023</t>
        </is>
      </c>
      <c r="B221" s="1" t="n">
        <v>45155</v>
      </c>
      <c r="C221" s="1" t="n">
        <v>45566</v>
      </c>
      <c r="D221" t="inlineStr">
        <is>
          <t>ÖREBRO LÄN</t>
        </is>
      </c>
      <c r="E221" t="inlineStr">
        <is>
          <t>KARLSKOGA</t>
        </is>
      </c>
      <c r="G221" t="n">
        <v>5.3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37208-2023</t>
        </is>
      </c>
      <c r="B222" s="1" t="n">
        <v>45155</v>
      </c>
      <c r="C222" s="1" t="n">
        <v>45566</v>
      </c>
      <c r="D222" t="inlineStr">
        <is>
          <t>ÖREBRO LÄN</t>
        </is>
      </c>
      <c r="E222" t="inlineStr">
        <is>
          <t>KARLSKOGA</t>
        </is>
      </c>
      <c r="G222" t="n">
        <v>2.2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38742-2023</t>
        </is>
      </c>
      <c r="B223" s="1" t="n">
        <v>45161</v>
      </c>
      <c r="C223" s="1" t="n">
        <v>45566</v>
      </c>
      <c r="D223" t="inlineStr">
        <is>
          <t>ÖREBRO LÄN</t>
        </is>
      </c>
      <c r="E223" t="inlineStr">
        <is>
          <t>KARLSKOGA</t>
        </is>
      </c>
      <c r="F223" t="inlineStr">
        <is>
          <t>Övriga Aktiebolag</t>
        </is>
      </c>
      <c r="G223" t="n">
        <v>4.2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42409-2023</t>
        </is>
      </c>
      <c r="B224" s="1" t="n">
        <v>45175</v>
      </c>
      <c r="C224" s="1" t="n">
        <v>45566</v>
      </c>
      <c r="D224" t="inlineStr">
        <is>
          <t>ÖREBRO LÄN</t>
        </is>
      </c>
      <c r="E224" t="inlineStr">
        <is>
          <t>KARLSKOGA</t>
        </is>
      </c>
      <c r="G224" t="n">
        <v>2.7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41790-2023</t>
        </is>
      </c>
      <c r="B225" s="1" t="n">
        <v>45176</v>
      </c>
      <c r="C225" s="1" t="n">
        <v>45566</v>
      </c>
      <c r="D225" t="inlineStr">
        <is>
          <t>ÖREBRO LÄN</t>
        </is>
      </c>
      <c r="E225" t="inlineStr">
        <is>
          <t>KARLSKOGA</t>
        </is>
      </c>
      <c r="F225" t="inlineStr">
        <is>
          <t>Kyrkan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42066-2023</t>
        </is>
      </c>
      <c r="B226" s="1" t="n">
        <v>45177</v>
      </c>
      <c r="C226" s="1" t="n">
        <v>45566</v>
      </c>
      <c r="D226" t="inlineStr">
        <is>
          <t>ÖREBRO LÄN</t>
        </is>
      </c>
      <c r="E226" t="inlineStr">
        <is>
          <t>KARLSKOGA</t>
        </is>
      </c>
      <c r="F226" t="inlineStr">
        <is>
          <t>Sveaskog</t>
        </is>
      </c>
      <c r="G226" t="n">
        <v>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42275-2023</t>
        </is>
      </c>
      <c r="B227" s="1" t="n">
        <v>45180</v>
      </c>
      <c r="C227" s="1" t="n">
        <v>45566</v>
      </c>
      <c r="D227" t="inlineStr">
        <is>
          <t>ÖREBRO LÄN</t>
        </is>
      </c>
      <c r="E227" t="inlineStr">
        <is>
          <t>KARLSKOGA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42801-2023</t>
        </is>
      </c>
      <c r="B228" s="1" t="n">
        <v>45182</v>
      </c>
      <c r="C228" s="1" t="n">
        <v>45566</v>
      </c>
      <c r="D228" t="inlineStr">
        <is>
          <t>ÖREBRO LÄN</t>
        </is>
      </c>
      <c r="E228" t="inlineStr">
        <is>
          <t>KARLSKOGA</t>
        </is>
      </c>
      <c r="F228" t="inlineStr">
        <is>
          <t>Sveaskog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43074-2023</t>
        </is>
      </c>
      <c r="B229" s="1" t="n">
        <v>45182</v>
      </c>
      <c r="C229" s="1" t="n">
        <v>45566</v>
      </c>
      <c r="D229" t="inlineStr">
        <is>
          <t>ÖREBRO LÄN</t>
        </is>
      </c>
      <c r="E229" t="inlineStr">
        <is>
          <t>KARLSKOGA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42802-2023</t>
        </is>
      </c>
      <c r="B230" s="1" t="n">
        <v>45182</v>
      </c>
      <c r="C230" s="1" t="n">
        <v>45566</v>
      </c>
      <c r="D230" t="inlineStr">
        <is>
          <t>ÖREBRO LÄN</t>
        </is>
      </c>
      <c r="E230" t="inlineStr">
        <is>
          <t>KARLSKOGA</t>
        </is>
      </c>
      <c r="F230" t="inlineStr">
        <is>
          <t>Sveaskog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43071-2023</t>
        </is>
      </c>
      <c r="B231" s="1" t="n">
        <v>45182</v>
      </c>
      <c r="C231" s="1" t="n">
        <v>45566</v>
      </c>
      <c r="D231" t="inlineStr">
        <is>
          <t>ÖREBRO LÄN</t>
        </is>
      </c>
      <c r="E231" t="inlineStr">
        <is>
          <t>KARLSKOGA</t>
        </is>
      </c>
      <c r="G231" t="n">
        <v>10.3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43075-2023</t>
        </is>
      </c>
      <c r="B232" s="1" t="n">
        <v>45182</v>
      </c>
      <c r="C232" s="1" t="n">
        <v>45566</v>
      </c>
      <c r="D232" t="inlineStr">
        <is>
          <t>ÖREBRO LÄN</t>
        </is>
      </c>
      <c r="E232" t="inlineStr">
        <is>
          <t>KARLSKOGA</t>
        </is>
      </c>
      <c r="G232" t="n">
        <v>3.1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42803-2023</t>
        </is>
      </c>
      <c r="B233" s="1" t="n">
        <v>45182</v>
      </c>
      <c r="C233" s="1" t="n">
        <v>45566</v>
      </c>
      <c r="D233" t="inlineStr">
        <is>
          <t>ÖREBRO LÄN</t>
        </is>
      </c>
      <c r="E233" t="inlineStr">
        <is>
          <t>KARLSKOGA</t>
        </is>
      </c>
      <c r="F233" t="inlineStr">
        <is>
          <t>Sveaskog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43072-2023</t>
        </is>
      </c>
      <c r="B234" s="1" t="n">
        <v>45182</v>
      </c>
      <c r="C234" s="1" t="n">
        <v>45566</v>
      </c>
      <c r="D234" t="inlineStr">
        <is>
          <t>ÖREBRO LÄN</t>
        </is>
      </c>
      <c r="E234" t="inlineStr">
        <is>
          <t>KARLSKOGA</t>
        </is>
      </c>
      <c r="G234" t="n">
        <v>9.9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42804-2023</t>
        </is>
      </c>
      <c r="B235" s="1" t="n">
        <v>45182</v>
      </c>
      <c r="C235" s="1" t="n">
        <v>45566</v>
      </c>
      <c r="D235" t="inlineStr">
        <is>
          <t>ÖREBRO LÄN</t>
        </is>
      </c>
      <c r="E235" t="inlineStr">
        <is>
          <t>KARLSKOGA</t>
        </is>
      </c>
      <c r="F235" t="inlineStr">
        <is>
          <t>Sveaskog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44224-2023</t>
        </is>
      </c>
      <c r="B236" s="1" t="n">
        <v>45188</v>
      </c>
      <c r="C236" s="1" t="n">
        <v>45566</v>
      </c>
      <c r="D236" t="inlineStr">
        <is>
          <t>ÖREBRO LÄN</t>
        </is>
      </c>
      <c r="E236" t="inlineStr">
        <is>
          <t>KARLSKOGA</t>
        </is>
      </c>
      <c r="F236" t="inlineStr">
        <is>
          <t>Sveaskog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44222-2023</t>
        </is>
      </c>
      <c r="B237" s="1" t="n">
        <v>45188</v>
      </c>
      <c r="C237" s="1" t="n">
        <v>45566</v>
      </c>
      <c r="D237" t="inlineStr">
        <is>
          <t>ÖREBRO LÄN</t>
        </is>
      </c>
      <c r="E237" t="inlineStr">
        <is>
          <t>KARLSKOGA</t>
        </is>
      </c>
      <c r="F237" t="inlineStr">
        <is>
          <t>Sveaskog</t>
        </is>
      </c>
      <c r="G237" t="n">
        <v>26.9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44916-2023</t>
        </is>
      </c>
      <c r="B238" s="1" t="n">
        <v>45190</v>
      </c>
      <c r="C238" s="1" t="n">
        <v>45566</v>
      </c>
      <c r="D238" t="inlineStr">
        <is>
          <t>ÖREBRO LÄN</t>
        </is>
      </c>
      <c r="E238" t="inlineStr">
        <is>
          <t>KARLSKOGA</t>
        </is>
      </c>
      <c r="G238" t="n">
        <v>2.3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44826-2023</t>
        </is>
      </c>
      <c r="B239" s="1" t="n">
        <v>45190</v>
      </c>
      <c r="C239" s="1" t="n">
        <v>45566</v>
      </c>
      <c r="D239" t="inlineStr">
        <is>
          <t>ÖREBRO LÄN</t>
        </is>
      </c>
      <c r="E239" t="inlineStr">
        <is>
          <t>KARLSKOGA</t>
        </is>
      </c>
      <c r="F239" t="inlineStr">
        <is>
          <t>Kyrkan</t>
        </is>
      </c>
      <c r="G239" t="n">
        <v>4.4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45785-2023</t>
        </is>
      </c>
      <c r="B240" s="1" t="n">
        <v>45195</v>
      </c>
      <c r="C240" s="1" t="n">
        <v>45566</v>
      </c>
      <c r="D240" t="inlineStr">
        <is>
          <t>ÖREBRO LÄN</t>
        </is>
      </c>
      <c r="E240" t="inlineStr">
        <is>
          <t>KARLSKOGA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47107-2023</t>
        </is>
      </c>
      <c r="B241" s="1" t="n">
        <v>45196</v>
      </c>
      <c r="C241" s="1" t="n">
        <v>45566</v>
      </c>
      <c r="D241" t="inlineStr">
        <is>
          <t>ÖREBRO LÄN</t>
        </is>
      </c>
      <c r="E241" t="inlineStr">
        <is>
          <t>KARLSKOGA</t>
        </is>
      </c>
      <c r="G241" t="n">
        <v>3.3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47094-2023</t>
        </is>
      </c>
      <c r="B242" s="1" t="n">
        <v>45196</v>
      </c>
      <c r="C242" s="1" t="n">
        <v>45566</v>
      </c>
      <c r="D242" t="inlineStr">
        <is>
          <t>ÖREBRO LÄN</t>
        </is>
      </c>
      <c r="E242" t="inlineStr">
        <is>
          <t>KARLSKOGA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47201-2023</t>
        </is>
      </c>
      <c r="B243" s="1" t="n">
        <v>45196</v>
      </c>
      <c r="C243" s="1" t="n">
        <v>45566</v>
      </c>
      <c r="D243" t="inlineStr">
        <is>
          <t>ÖREBRO LÄN</t>
        </is>
      </c>
      <c r="E243" t="inlineStr">
        <is>
          <t>KARLSKOGA</t>
        </is>
      </c>
      <c r="G243" t="n">
        <v>2.7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47196-2023</t>
        </is>
      </c>
      <c r="B244" s="1" t="n">
        <v>45196</v>
      </c>
      <c r="C244" s="1" t="n">
        <v>45566</v>
      </c>
      <c r="D244" t="inlineStr">
        <is>
          <t>ÖREBRO LÄN</t>
        </is>
      </c>
      <c r="E244" t="inlineStr">
        <is>
          <t>KARLSKOGA</t>
        </is>
      </c>
      <c r="G244" t="n">
        <v>5.9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48698-2023</t>
        </is>
      </c>
      <c r="B245" s="1" t="n">
        <v>45208</v>
      </c>
      <c r="C245" s="1" t="n">
        <v>45566</v>
      </c>
      <c r="D245" t="inlineStr">
        <is>
          <t>ÖREBRO LÄN</t>
        </is>
      </c>
      <c r="E245" t="inlineStr">
        <is>
          <t>KARLSKOGA</t>
        </is>
      </c>
      <c r="G245" t="n">
        <v>3.4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49021-2023</t>
        </is>
      </c>
      <c r="B246" s="1" t="n">
        <v>45209</v>
      </c>
      <c r="C246" s="1" t="n">
        <v>45566</v>
      </c>
      <c r="D246" t="inlineStr">
        <is>
          <t>ÖREBRO LÄN</t>
        </is>
      </c>
      <c r="E246" t="inlineStr">
        <is>
          <t>KARLSKOGA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49572-2023</t>
        </is>
      </c>
      <c r="B247" s="1" t="n">
        <v>45211</v>
      </c>
      <c r="C247" s="1" t="n">
        <v>45566</v>
      </c>
      <c r="D247" t="inlineStr">
        <is>
          <t>ÖREBRO LÄN</t>
        </is>
      </c>
      <c r="E247" t="inlineStr">
        <is>
          <t>KARLSKOGA</t>
        </is>
      </c>
      <c r="G247" t="n">
        <v>4.1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51344-2023</t>
        </is>
      </c>
      <c r="B248" s="1" t="n">
        <v>45219</v>
      </c>
      <c r="C248" s="1" t="n">
        <v>45566</v>
      </c>
      <c r="D248" t="inlineStr">
        <is>
          <t>ÖREBRO LÄN</t>
        </is>
      </c>
      <c r="E248" t="inlineStr">
        <is>
          <t>KARLSKOGA</t>
        </is>
      </c>
      <c r="F248" t="inlineStr">
        <is>
          <t>Övriga Aktiebolag</t>
        </is>
      </c>
      <c r="G248" t="n">
        <v>4.5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53647-2023</t>
        </is>
      </c>
      <c r="B249" s="1" t="n">
        <v>45230</v>
      </c>
      <c r="C249" s="1" t="n">
        <v>45566</v>
      </c>
      <c r="D249" t="inlineStr">
        <is>
          <t>ÖREBRO LÄN</t>
        </is>
      </c>
      <c r="E249" t="inlineStr">
        <is>
          <t>KARLSKOGA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53635-2023</t>
        </is>
      </c>
      <c r="B250" s="1" t="n">
        <v>45230</v>
      </c>
      <c r="C250" s="1" t="n">
        <v>45566</v>
      </c>
      <c r="D250" t="inlineStr">
        <is>
          <t>ÖREBRO LÄN</t>
        </is>
      </c>
      <c r="E250" t="inlineStr">
        <is>
          <t>KARLSKOGA</t>
        </is>
      </c>
      <c r="G250" t="n">
        <v>3.7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53668-2023</t>
        </is>
      </c>
      <c r="B251" s="1" t="n">
        <v>45230</v>
      </c>
      <c r="C251" s="1" t="n">
        <v>45566</v>
      </c>
      <c r="D251" t="inlineStr">
        <is>
          <t>ÖREBRO LÄN</t>
        </is>
      </c>
      <c r="E251" t="inlineStr">
        <is>
          <t>KARLSKOGA</t>
        </is>
      </c>
      <c r="G251" t="n">
        <v>6.7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53675-2023</t>
        </is>
      </c>
      <c r="B252" s="1" t="n">
        <v>45230</v>
      </c>
      <c r="C252" s="1" t="n">
        <v>45566</v>
      </c>
      <c r="D252" t="inlineStr">
        <is>
          <t>ÖREBRO LÄN</t>
        </is>
      </c>
      <c r="E252" t="inlineStr">
        <is>
          <t>KARLSKOGA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55192-2023</t>
        </is>
      </c>
      <c r="B253" s="1" t="n">
        <v>45237</v>
      </c>
      <c r="C253" s="1" t="n">
        <v>45566</v>
      </c>
      <c r="D253" t="inlineStr">
        <is>
          <t>ÖREBRO LÄN</t>
        </is>
      </c>
      <c r="E253" t="inlineStr">
        <is>
          <t>KARLSKOGA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55191-2023</t>
        </is>
      </c>
      <c r="B254" s="1" t="n">
        <v>45237</v>
      </c>
      <c r="C254" s="1" t="n">
        <v>45566</v>
      </c>
      <c r="D254" t="inlineStr">
        <is>
          <t>ÖREBRO LÄN</t>
        </is>
      </c>
      <c r="E254" t="inlineStr">
        <is>
          <t>KARLSKOGA</t>
        </is>
      </c>
      <c r="G254" t="n">
        <v>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55190-2023</t>
        </is>
      </c>
      <c r="B255" s="1" t="n">
        <v>45237</v>
      </c>
      <c r="C255" s="1" t="n">
        <v>45566</v>
      </c>
      <c r="D255" t="inlineStr">
        <is>
          <t>ÖREBRO LÄN</t>
        </is>
      </c>
      <c r="E255" t="inlineStr">
        <is>
          <t>KARLSKOGA</t>
        </is>
      </c>
      <c r="G255" t="n">
        <v>3.8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55589-2023</t>
        </is>
      </c>
      <c r="B256" s="1" t="n">
        <v>45238</v>
      </c>
      <c r="C256" s="1" t="n">
        <v>45566</v>
      </c>
      <c r="D256" t="inlineStr">
        <is>
          <t>ÖREBRO LÄN</t>
        </is>
      </c>
      <c r="E256" t="inlineStr">
        <is>
          <t>KARLSKOGA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55832-2023</t>
        </is>
      </c>
      <c r="B257" s="1" t="n">
        <v>45239</v>
      </c>
      <c r="C257" s="1" t="n">
        <v>45566</v>
      </c>
      <c r="D257" t="inlineStr">
        <is>
          <t>ÖREBRO LÄN</t>
        </is>
      </c>
      <c r="E257" t="inlineStr">
        <is>
          <t>KARLSKOGA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56730-2023</t>
        </is>
      </c>
      <c r="B258" s="1" t="n">
        <v>45244</v>
      </c>
      <c r="C258" s="1" t="n">
        <v>45566</v>
      </c>
      <c r="D258" t="inlineStr">
        <is>
          <t>ÖREBRO LÄN</t>
        </is>
      </c>
      <c r="E258" t="inlineStr">
        <is>
          <t>KARLSKOGA</t>
        </is>
      </c>
      <c r="F258" t="inlineStr">
        <is>
          <t>Övriga Aktiebolag</t>
        </is>
      </c>
      <c r="G258" t="n">
        <v>8.800000000000001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57524-2023</t>
        </is>
      </c>
      <c r="B259" s="1" t="n">
        <v>45246</v>
      </c>
      <c r="C259" s="1" t="n">
        <v>45566</v>
      </c>
      <c r="D259" t="inlineStr">
        <is>
          <t>ÖREBRO LÄN</t>
        </is>
      </c>
      <c r="E259" t="inlineStr">
        <is>
          <t>KARLSKOGA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59938-2023</t>
        </is>
      </c>
      <c r="B260" s="1" t="n">
        <v>45257</v>
      </c>
      <c r="C260" s="1" t="n">
        <v>45566</v>
      </c>
      <c r="D260" t="inlineStr">
        <is>
          <t>ÖREBRO LÄN</t>
        </is>
      </c>
      <c r="E260" t="inlineStr">
        <is>
          <t>KARLSKOGA</t>
        </is>
      </c>
      <c r="G260" t="n">
        <v>2.9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60410-2023</t>
        </is>
      </c>
      <c r="B261" s="1" t="n">
        <v>45259</v>
      </c>
      <c r="C261" s="1" t="n">
        <v>45566</v>
      </c>
      <c r="D261" t="inlineStr">
        <is>
          <t>ÖREBRO LÄN</t>
        </is>
      </c>
      <c r="E261" t="inlineStr">
        <is>
          <t>KARLSKOGA</t>
        </is>
      </c>
      <c r="F261" t="inlineStr">
        <is>
          <t>Övriga Aktiebolag</t>
        </is>
      </c>
      <c r="G261" t="n">
        <v>9.6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61396-2023</t>
        </is>
      </c>
      <c r="B262" s="1" t="n">
        <v>45264</v>
      </c>
      <c r="C262" s="1" t="n">
        <v>45566</v>
      </c>
      <c r="D262" t="inlineStr">
        <is>
          <t>ÖREBRO LÄN</t>
        </is>
      </c>
      <c r="E262" t="inlineStr">
        <is>
          <t>KARLSKOGA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63863-2023</t>
        </is>
      </c>
      <c r="B263" s="1" t="n">
        <v>45278</v>
      </c>
      <c r="C263" s="1" t="n">
        <v>45566</v>
      </c>
      <c r="D263" t="inlineStr">
        <is>
          <t>ÖREBRO LÄN</t>
        </is>
      </c>
      <c r="E263" t="inlineStr">
        <is>
          <t>KARLSKOGA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64060-2023</t>
        </is>
      </c>
      <c r="B264" s="1" t="n">
        <v>45279</v>
      </c>
      <c r="C264" s="1" t="n">
        <v>45566</v>
      </c>
      <c r="D264" t="inlineStr">
        <is>
          <t>ÖREBRO LÄN</t>
        </is>
      </c>
      <c r="E264" t="inlineStr">
        <is>
          <t>KARLSKOGA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1106-2024</t>
        </is>
      </c>
      <c r="B265" s="1" t="n">
        <v>45302</v>
      </c>
      <c r="C265" s="1" t="n">
        <v>45566</v>
      </c>
      <c r="D265" t="inlineStr">
        <is>
          <t>ÖREBRO LÄN</t>
        </is>
      </c>
      <c r="E265" t="inlineStr">
        <is>
          <t>KARLSKOGA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1309-2024</t>
        </is>
      </c>
      <c r="B266" s="1" t="n">
        <v>45303</v>
      </c>
      <c r="C266" s="1" t="n">
        <v>45566</v>
      </c>
      <c r="D266" t="inlineStr">
        <is>
          <t>ÖREBRO LÄN</t>
        </is>
      </c>
      <c r="E266" t="inlineStr">
        <is>
          <t>KARLSKOGA</t>
        </is>
      </c>
      <c r="G266" t="n">
        <v>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2340-2024</t>
        </is>
      </c>
      <c r="B267" s="1" t="n">
        <v>45310</v>
      </c>
      <c r="C267" s="1" t="n">
        <v>45566</v>
      </c>
      <c r="D267" t="inlineStr">
        <is>
          <t>ÖREBRO LÄN</t>
        </is>
      </c>
      <c r="E267" t="inlineStr">
        <is>
          <t>KARLSKOGA</t>
        </is>
      </c>
      <c r="F267" t="inlineStr">
        <is>
          <t>Övriga Aktiebolag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2335-2024</t>
        </is>
      </c>
      <c r="B268" s="1" t="n">
        <v>45310</v>
      </c>
      <c r="C268" s="1" t="n">
        <v>45566</v>
      </c>
      <c r="D268" t="inlineStr">
        <is>
          <t>ÖREBRO LÄN</t>
        </is>
      </c>
      <c r="E268" t="inlineStr">
        <is>
          <t>KARLSKOGA</t>
        </is>
      </c>
      <c r="F268" t="inlineStr">
        <is>
          <t>Övriga Aktiebolag</t>
        </is>
      </c>
      <c r="G268" t="n">
        <v>18.4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2363-2024</t>
        </is>
      </c>
      <c r="B269" s="1" t="n">
        <v>45310</v>
      </c>
      <c r="C269" s="1" t="n">
        <v>45566</v>
      </c>
      <c r="D269" t="inlineStr">
        <is>
          <t>ÖREBRO LÄN</t>
        </is>
      </c>
      <c r="E269" t="inlineStr">
        <is>
          <t>KARLSKOGA</t>
        </is>
      </c>
      <c r="F269" t="inlineStr">
        <is>
          <t>Övriga Aktiebolag</t>
        </is>
      </c>
      <c r="G269" t="n">
        <v>4.9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2376-2024</t>
        </is>
      </c>
      <c r="B270" s="1" t="n">
        <v>45310</v>
      </c>
      <c r="C270" s="1" t="n">
        <v>45566</v>
      </c>
      <c r="D270" t="inlineStr">
        <is>
          <t>ÖREBRO LÄN</t>
        </is>
      </c>
      <c r="E270" t="inlineStr">
        <is>
          <t>KARLSKOGA</t>
        </is>
      </c>
      <c r="F270" t="inlineStr">
        <is>
          <t>Övriga Aktiebolag</t>
        </is>
      </c>
      <c r="G270" t="n">
        <v>13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3735-2024</t>
        </is>
      </c>
      <c r="B271" s="1" t="n">
        <v>45321</v>
      </c>
      <c r="C271" s="1" t="n">
        <v>45566</v>
      </c>
      <c r="D271" t="inlineStr">
        <is>
          <t>ÖREBRO LÄN</t>
        </is>
      </c>
      <c r="E271" t="inlineStr">
        <is>
          <t>KARLSKOGA</t>
        </is>
      </c>
      <c r="F271" t="inlineStr">
        <is>
          <t>Övriga Aktiebolag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4801-2024</t>
        </is>
      </c>
      <c r="B272" s="1" t="n">
        <v>45328</v>
      </c>
      <c r="C272" s="1" t="n">
        <v>45566</v>
      </c>
      <c r="D272" t="inlineStr">
        <is>
          <t>ÖREBRO LÄN</t>
        </is>
      </c>
      <c r="E272" t="inlineStr">
        <is>
          <t>KARLSKOGA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4802-2024</t>
        </is>
      </c>
      <c r="B273" s="1" t="n">
        <v>45328</v>
      </c>
      <c r="C273" s="1" t="n">
        <v>45566</v>
      </c>
      <c r="D273" t="inlineStr">
        <is>
          <t>ÖREBRO LÄN</t>
        </is>
      </c>
      <c r="E273" t="inlineStr">
        <is>
          <t>KARLSKOGA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4961-2024</t>
        </is>
      </c>
      <c r="B274" s="1" t="n">
        <v>45329</v>
      </c>
      <c r="C274" s="1" t="n">
        <v>45566</v>
      </c>
      <c r="D274" t="inlineStr">
        <is>
          <t>ÖREBRO LÄN</t>
        </is>
      </c>
      <c r="E274" t="inlineStr">
        <is>
          <t>KARLSKOGA</t>
        </is>
      </c>
      <c r="G274" t="n">
        <v>4.7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6665-2024</t>
        </is>
      </c>
      <c r="B275" s="1" t="n">
        <v>45341</v>
      </c>
      <c r="C275" s="1" t="n">
        <v>45566</v>
      </c>
      <c r="D275" t="inlineStr">
        <is>
          <t>ÖREBRO LÄN</t>
        </is>
      </c>
      <c r="E275" t="inlineStr">
        <is>
          <t>KARLSKOGA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7118-2024</t>
        </is>
      </c>
      <c r="B276" s="1" t="n">
        <v>45344</v>
      </c>
      <c r="C276" s="1" t="n">
        <v>45566</v>
      </c>
      <c r="D276" t="inlineStr">
        <is>
          <t>ÖREBRO LÄN</t>
        </is>
      </c>
      <c r="E276" t="inlineStr">
        <is>
          <t>KARLSKOGA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7419-2024</t>
        </is>
      </c>
      <c r="B277" s="1" t="n">
        <v>45345</v>
      </c>
      <c r="C277" s="1" t="n">
        <v>45566</v>
      </c>
      <c r="D277" t="inlineStr">
        <is>
          <t>ÖREBRO LÄN</t>
        </is>
      </c>
      <c r="E277" t="inlineStr">
        <is>
          <t>KARLSKOGA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8556-2024</t>
        </is>
      </c>
      <c r="B278" s="1" t="n">
        <v>45355</v>
      </c>
      <c r="C278" s="1" t="n">
        <v>45566</v>
      </c>
      <c r="D278" t="inlineStr">
        <is>
          <t>ÖREBRO LÄN</t>
        </is>
      </c>
      <c r="E278" t="inlineStr">
        <is>
          <t>KARLSKOGA</t>
        </is>
      </c>
      <c r="G278" t="n">
        <v>3.1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9180-2024</t>
        </is>
      </c>
      <c r="B279" s="1" t="n">
        <v>45358</v>
      </c>
      <c r="C279" s="1" t="n">
        <v>45566</v>
      </c>
      <c r="D279" t="inlineStr">
        <is>
          <t>ÖREBRO LÄN</t>
        </is>
      </c>
      <c r="E279" t="inlineStr">
        <is>
          <t>KARLSKOGA</t>
        </is>
      </c>
      <c r="G279" t="n">
        <v>3.2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9712-2024</t>
        </is>
      </c>
      <c r="B280" s="1" t="n">
        <v>45362</v>
      </c>
      <c r="C280" s="1" t="n">
        <v>45566</v>
      </c>
      <c r="D280" t="inlineStr">
        <is>
          <t>ÖREBRO LÄN</t>
        </is>
      </c>
      <c r="E280" t="inlineStr">
        <is>
          <t>KARLSKOGA</t>
        </is>
      </c>
      <c r="F280" t="inlineStr">
        <is>
          <t>Kyrkan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10648-2024</t>
        </is>
      </c>
      <c r="B281" s="1" t="n">
        <v>45368</v>
      </c>
      <c r="C281" s="1" t="n">
        <v>45566</v>
      </c>
      <c r="D281" t="inlineStr">
        <is>
          <t>ÖREBRO LÄN</t>
        </is>
      </c>
      <c r="E281" t="inlineStr">
        <is>
          <t>KARLSKOGA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14215-2024</t>
        </is>
      </c>
      <c r="B282" s="1" t="n">
        <v>45393</v>
      </c>
      <c r="C282" s="1" t="n">
        <v>45566</v>
      </c>
      <c r="D282" t="inlineStr">
        <is>
          <t>ÖREBRO LÄN</t>
        </is>
      </c>
      <c r="E282" t="inlineStr">
        <is>
          <t>KARLSKOGA</t>
        </is>
      </c>
      <c r="F282" t="inlineStr">
        <is>
          <t>Kommuner</t>
        </is>
      </c>
      <c r="G282" t="n">
        <v>4.2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14202-2024</t>
        </is>
      </c>
      <c r="B283" s="1" t="n">
        <v>45393</v>
      </c>
      <c r="C283" s="1" t="n">
        <v>45566</v>
      </c>
      <c r="D283" t="inlineStr">
        <is>
          <t>ÖREBRO LÄN</t>
        </is>
      </c>
      <c r="E283" t="inlineStr">
        <is>
          <t>KARLSKOGA</t>
        </is>
      </c>
      <c r="G283" t="n">
        <v>4.4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16543-2024</t>
        </is>
      </c>
      <c r="B284" s="1" t="n">
        <v>45408</v>
      </c>
      <c r="C284" s="1" t="n">
        <v>45566</v>
      </c>
      <c r="D284" t="inlineStr">
        <is>
          <t>ÖREBRO LÄN</t>
        </is>
      </c>
      <c r="E284" t="inlineStr">
        <is>
          <t>KARLSKOGA</t>
        </is>
      </c>
      <c r="F284" t="inlineStr">
        <is>
          <t>Sveaskog</t>
        </is>
      </c>
      <c r="G284" t="n">
        <v>2.1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17243-2024</t>
        </is>
      </c>
      <c r="B285" s="1" t="n">
        <v>45414</v>
      </c>
      <c r="C285" s="1" t="n">
        <v>45566</v>
      </c>
      <c r="D285" t="inlineStr">
        <is>
          <t>ÖREBRO LÄN</t>
        </is>
      </c>
      <c r="E285" t="inlineStr">
        <is>
          <t>KARLSKOGA</t>
        </is>
      </c>
      <c r="G285" t="n">
        <v>3.2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18506-2024</t>
        </is>
      </c>
      <c r="B286" s="1" t="n">
        <v>45425</v>
      </c>
      <c r="C286" s="1" t="n">
        <v>45566</v>
      </c>
      <c r="D286" t="inlineStr">
        <is>
          <t>ÖREBRO LÄN</t>
        </is>
      </c>
      <c r="E286" t="inlineStr">
        <is>
          <t>KARLSKOGA</t>
        </is>
      </c>
      <c r="G286" t="n">
        <v>11.6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19016-2024</t>
        </is>
      </c>
      <c r="B287" s="1" t="n">
        <v>45427</v>
      </c>
      <c r="C287" s="1" t="n">
        <v>45566</v>
      </c>
      <c r="D287" t="inlineStr">
        <is>
          <t>ÖREBRO LÄN</t>
        </is>
      </c>
      <c r="E287" t="inlineStr">
        <is>
          <t>KARLSKOGA</t>
        </is>
      </c>
      <c r="F287" t="inlineStr">
        <is>
          <t>Sveaskog</t>
        </is>
      </c>
      <c r="G287" t="n">
        <v>6.7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19012-2024</t>
        </is>
      </c>
      <c r="B288" s="1" t="n">
        <v>45427</v>
      </c>
      <c r="C288" s="1" t="n">
        <v>45566</v>
      </c>
      <c r="D288" t="inlineStr">
        <is>
          <t>ÖREBRO LÄN</t>
        </is>
      </c>
      <c r="E288" t="inlineStr">
        <is>
          <t>KARLSKOGA</t>
        </is>
      </c>
      <c r="F288" t="inlineStr">
        <is>
          <t>Sveaskog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19013-2024</t>
        </is>
      </c>
      <c r="B289" s="1" t="n">
        <v>45427</v>
      </c>
      <c r="C289" s="1" t="n">
        <v>45566</v>
      </c>
      <c r="D289" t="inlineStr">
        <is>
          <t>ÖREBRO LÄN</t>
        </is>
      </c>
      <c r="E289" t="inlineStr">
        <is>
          <t>KARLSKOGA</t>
        </is>
      </c>
      <c r="F289" t="inlineStr">
        <is>
          <t>Sveaskog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20079-2024</t>
        </is>
      </c>
      <c r="B290" s="1" t="n">
        <v>45434</v>
      </c>
      <c r="C290" s="1" t="n">
        <v>45566</v>
      </c>
      <c r="D290" t="inlineStr">
        <is>
          <t>ÖREBRO LÄN</t>
        </is>
      </c>
      <c r="E290" t="inlineStr">
        <is>
          <t>KARLSKOGA</t>
        </is>
      </c>
      <c r="G290" t="n">
        <v>8.5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20108-2024</t>
        </is>
      </c>
      <c r="B291" s="1" t="n">
        <v>45434</v>
      </c>
      <c r="C291" s="1" t="n">
        <v>45566</v>
      </c>
      <c r="D291" t="inlineStr">
        <is>
          <t>ÖREBRO LÄN</t>
        </is>
      </c>
      <c r="E291" t="inlineStr">
        <is>
          <t>KARLSKOGA</t>
        </is>
      </c>
      <c r="G291" t="n">
        <v>22.8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20086-2024</t>
        </is>
      </c>
      <c r="B292" s="1" t="n">
        <v>45434</v>
      </c>
      <c r="C292" s="1" t="n">
        <v>45566</v>
      </c>
      <c r="D292" t="inlineStr">
        <is>
          <t>ÖREBRO LÄN</t>
        </is>
      </c>
      <c r="E292" t="inlineStr">
        <is>
          <t>KARLSKOGA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20299-2024</t>
        </is>
      </c>
      <c r="B293" s="1" t="n">
        <v>45435</v>
      </c>
      <c r="C293" s="1" t="n">
        <v>45566</v>
      </c>
      <c r="D293" t="inlineStr">
        <is>
          <t>ÖREBRO LÄN</t>
        </is>
      </c>
      <c r="E293" t="inlineStr">
        <is>
          <t>KARLSKOGA</t>
        </is>
      </c>
      <c r="F293" t="inlineStr">
        <is>
          <t>Sveaskog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20307-2024</t>
        </is>
      </c>
      <c r="B294" s="1" t="n">
        <v>45435</v>
      </c>
      <c r="C294" s="1" t="n">
        <v>45566</v>
      </c>
      <c r="D294" t="inlineStr">
        <is>
          <t>ÖREBRO LÄN</t>
        </is>
      </c>
      <c r="E294" t="inlineStr">
        <is>
          <t>KARLSKOGA</t>
        </is>
      </c>
      <c r="F294" t="inlineStr">
        <is>
          <t>Sveaskog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20289-2024</t>
        </is>
      </c>
      <c r="B295" s="1" t="n">
        <v>45435</v>
      </c>
      <c r="C295" s="1" t="n">
        <v>45566</v>
      </c>
      <c r="D295" t="inlineStr">
        <is>
          <t>ÖREBRO LÄN</t>
        </is>
      </c>
      <c r="E295" t="inlineStr">
        <is>
          <t>KARLSKOGA</t>
        </is>
      </c>
      <c r="F295" t="inlineStr">
        <is>
          <t>Sveaskog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20302-2024</t>
        </is>
      </c>
      <c r="B296" s="1" t="n">
        <v>45435</v>
      </c>
      <c r="C296" s="1" t="n">
        <v>45566</v>
      </c>
      <c r="D296" t="inlineStr">
        <is>
          <t>ÖREBRO LÄN</t>
        </is>
      </c>
      <c r="E296" t="inlineStr">
        <is>
          <t>KARLSKOGA</t>
        </is>
      </c>
      <c r="F296" t="inlineStr">
        <is>
          <t>Sveaskog</t>
        </is>
      </c>
      <c r="G296" t="n">
        <v>2.5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20305-2024</t>
        </is>
      </c>
      <c r="B297" s="1" t="n">
        <v>45435</v>
      </c>
      <c r="C297" s="1" t="n">
        <v>45566</v>
      </c>
      <c r="D297" t="inlineStr">
        <is>
          <t>ÖREBRO LÄN</t>
        </is>
      </c>
      <c r="E297" t="inlineStr">
        <is>
          <t>KARLSKOGA</t>
        </is>
      </c>
      <c r="F297" t="inlineStr">
        <is>
          <t>Sveaskog</t>
        </is>
      </c>
      <c r="G297" t="n">
        <v>6.2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20300-2024</t>
        </is>
      </c>
      <c r="B298" s="1" t="n">
        <v>45435</v>
      </c>
      <c r="C298" s="1" t="n">
        <v>45566</v>
      </c>
      <c r="D298" t="inlineStr">
        <is>
          <t>ÖREBRO LÄN</t>
        </is>
      </c>
      <c r="E298" t="inlineStr">
        <is>
          <t>KARLSKOGA</t>
        </is>
      </c>
      <c r="F298" t="inlineStr">
        <is>
          <t>Sveaskog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20304-2024</t>
        </is>
      </c>
      <c r="B299" s="1" t="n">
        <v>45435</v>
      </c>
      <c r="C299" s="1" t="n">
        <v>45566</v>
      </c>
      <c r="D299" t="inlineStr">
        <is>
          <t>ÖREBRO LÄN</t>
        </is>
      </c>
      <c r="E299" t="inlineStr">
        <is>
          <t>KARLSKOGA</t>
        </is>
      </c>
      <c r="F299" t="inlineStr">
        <is>
          <t>Sveaskog</t>
        </is>
      </c>
      <c r="G299" t="n">
        <v>5.2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20308-2024</t>
        </is>
      </c>
      <c r="B300" s="1" t="n">
        <v>45435</v>
      </c>
      <c r="C300" s="1" t="n">
        <v>45566</v>
      </c>
      <c r="D300" t="inlineStr">
        <is>
          <t>ÖREBRO LÄN</t>
        </is>
      </c>
      <c r="E300" t="inlineStr">
        <is>
          <t>KARLSKOGA</t>
        </is>
      </c>
      <c r="F300" t="inlineStr">
        <is>
          <t>Sveaskog</t>
        </is>
      </c>
      <c r="G300" t="n">
        <v>9.199999999999999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20708-2024</t>
        </is>
      </c>
      <c r="B301" s="1" t="n">
        <v>45436</v>
      </c>
      <c r="C301" s="1" t="n">
        <v>45566</v>
      </c>
      <c r="D301" t="inlineStr">
        <is>
          <t>ÖREBRO LÄN</t>
        </is>
      </c>
      <c r="E301" t="inlineStr">
        <is>
          <t>KARLSKOGA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21510-2024</t>
        </is>
      </c>
      <c r="B302" s="1" t="n">
        <v>45441</v>
      </c>
      <c r="C302" s="1" t="n">
        <v>45566</v>
      </c>
      <c r="D302" t="inlineStr">
        <is>
          <t>ÖREBRO LÄN</t>
        </is>
      </c>
      <c r="E302" t="inlineStr">
        <is>
          <t>KARLSKOGA</t>
        </is>
      </c>
      <c r="F302" t="inlineStr">
        <is>
          <t>Övriga Aktiebolag</t>
        </is>
      </c>
      <c r="G302" t="n">
        <v>7.3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22639-2024</t>
        </is>
      </c>
      <c r="B303" s="1" t="n">
        <v>45447</v>
      </c>
      <c r="C303" s="1" t="n">
        <v>45566</v>
      </c>
      <c r="D303" t="inlineStr">
        <is>
          <t>ÖREBRO LÄN</t>
        </is>
      </c>
      <c r="E303" t="inlineStr">
        <is>
          <t>KARLSKOGA</t>
        </is>
      </c>
      <c r="F303" t="inlineStr">
        <is>
          <t>Övriga Aktiebolag</t>
        </is>
      </c>
      <c r="G303" t="n">
        <v>10.4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22749-2024</t>
        </is>
      </c>
      <c r="B304" s="1" t="n">
        <v>45448</v>
      </c>
      <c r="C304" s="1" t="n">
        <v>45566</v>
      </c>
      <c r="D304" t="inlineStr">
        <is>
          <t>ÖREBRO LÄN</t>
        </is>
      </c>
      <c r="E304" t="inlineStr">
        <is>
          <t>KARLSKOGA</t>
        </is>
      </c>
      <c r="F304" t="inlineStr">
        <is>
          <t>Sveaskog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23400-2024</t>
        </is>
      </c>
      <c r="B305" s="1" t="n">
        <v>45453</v>
      </c>
      <c r="C305" s="1" t="n">
        <v>45566</v>
      </c>
      <c r="D305" t="inlineStr">
        <is>
          <t>ÖREBRO LÄN</t>
        </is>
      </c>
      <c r="E305" t="inlineStr">
        <is>
          <t>KARLSKOGA</t>
        </is>
      </c>
      <c r="F305" t="inlineStr">
        <is>
          <t>Övriga Aktiebolag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23620-2024</t>
        </is>
      </c>
      <c r="B306" s="1" t="n">
        <v>45454</v>
      </c>
      <c r="C306" s="1" t="n">
        <v>45566</v>
      </c>
      <c r="D306" t="inlineStr">
        <is>
          <t>ÖREBRO LÄN</t>
        </is>
      </c>
      <c r="E306" t="inlineStr">
        <is>
          <t>KARLSKOGA</t>
        </is>
      </c>
      <c r="G306" t="n">
        <v>2.2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24188-2024</t>
        </is>
      </c>
      <c r="B307" s="1" t="n">
        <v>45456</v>
      </c>
      <c r="C307" s="1" t="n">
        <v>45566</v>
      </c>
      <c r="D307" t="inlineStr">
        <is>
          <t>ÖREBRO LÄN</t>
        </is>
      </c>
      <c r="E307" t="inlineStr">
        <is>
          <t>KARLSKOGA</t>
        </is>
      </c>
      <c r="F307" t="inlineStr">
        <is>
          <t>Sveaskog</t>
        </is>
      </c>
      <c r="G307" t="n">
        <v>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24255-2024</t>
        </is>
      </c>
      <c r="B308" s="1" t="n">
        <v>45457</v>
      </c>
      <c r="C308" s="1" t="n">
        <v>45566</v>
      </c>
      <c r="D308" t="inlineStr">
        <is>
          <t>ÖREBRO LÄN</t>
        </is>
      </c>
      <c r="E308" t="inlineStr">
        <is>
          <t>KARLSKOGA</t>
        </is>
      </c>
      <c r="G308" t="n">
        <v>2.4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24688-2024</t>
        </is>
      </c>
      <c r="B309" s="1" t="n">
        <v>45460</v>
      </c>
      <c r="C309" s="1" t="n">
        <v>45566</v>
      </c>
      <c r="D309" t="inlineStr">
        <is>
          <t>ÖREBRO LÄN</t>
        </is>
      </c>
      <c r="E309" t="inlineStr">
        <is>
          <t>KARLSKOGA</t>
        </is>
      </c>
      <c r="G309" t="n">
        <v>2.4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28100-2024</t>
        </is>
      </c>
      <c r="B310" s="1" t="n">
        <v>45476</v>
      </c>
      <c r="C310" s="1" t="n">
        <v>45566</v>
      </c>
      <c r="D310" t="inlineStr">
        <is>
          <t>ÖREBRO LÄN</t>
        </is>
      </c>
      <c r="E310" t="inlineStr">
        <is>
          <t>KARLSKOGA</t>
        </is>
      </c>
      <c r="G310" t="n">
        <v>1.8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28566-2024</t>
        </is>
      </c>
      <c r="B311" s="1" t="n">
        <v>45478</v>
      </c>
      <c r="C311" s="1" t="n">
        <v>45566</v>
      </c>
      <c r="D311" t="inlineStr">
        <is>
          <t>ÖREBRO LÄN</t>
        </is>
      </c>
      <c r="E311" t="inlineStr">
        <is>
          <t>KARLSKOGA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32078-2024</t>
        </is>
      </c>
      <c r="B312" s="1" t="n">
        <v>45511</v>
      </c>
      <c r="C312" s="1" t="n">
        <v>45566</v>
      </c>
      <c r="D312" t="inlineStr">
        <is>
          <t>ÖREBRO LÄN</t>
        </is>
      </c>
      <c r="E312" t="inlineStr">
        <is>
          <t>KARLSKOGA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33678-2024</t>
        </is>
      </c>
      <c r="B313" s="1" t="n">
        <v>45520</v>
      </c>
      <c r="C313" s="1" t="n">
        <v>45566</v>
      </c>
      <c r="D313" t="inlineStr">
        <is>
          <t>ÖREBRO LÄN</t>
        </is>
      </c>
      <c r="E313" t="inlineStr">
        <is>
          <t>KARLSKOGA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34337-2024</t>
        </is>
      </c>
      <c r="B314" s="1" t="n">
        <v>45524</v>
      </c>
      <c r="C314" s="1" t="n">
        <v>45566</v>
      </c>
      <c r="D314" t="inlineStr">
        <is>
          <t>ÖREBRO LÄN</t>
        </is>
      </c>
      <c r="E314" t="inlineStr">
        <is>
          <t>KARLSKOGA</t>
        </is>
      </c>
      <c r="G314" t="n">
        <v>6.1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34409-2024</t>
        </is>
      </c>
      <c r="B315" s="1" t="n">
        <v>45525</v>
      </c>
      <c r="C315" s="1" t="n">
        <v>45566</v>
      </c>
      <c r="D315" t="inlineStr">
        <is>
          <t>ÖREBRO LÄN</t>
        </is>
      </c>
      <c r="E315" t="inlineStr">
        <is>
          <t>KARLSKOGA</t>
        </is>
      </c>
      <c r="G315" t="n">
        <v>4.2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34728-2024</t>
        </is>
      </c>
      <c r="B316" s="1" t="n">
        <v>45526</v>
      </c>
      <c r="C316" s="1" t="n">
        <v>45566</v>
      </c>
      <c r="D316" t="inlineStr">
        <is>
          <t>ÖREBRO LÄN</t>
        </is>
      </c>
      <c r="E316" t="inlineStr">
        <is>
          <t>KARLSKOGA</t>
        </is>
      </c>
      <c r="F316" t="inlineStr">
        <is>
          <t>Övriga Aktiebolag</t>
        </is>
      </c>
      <c r="G316" t="n">
        <v>9.9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35060-2024</t>
        </is>
      </c>
      <c r="B317" s="1" t="n">
        <v>45527</v>
      </c>
      <c r="C317" s="1" t="n">
        <v>45566</v>
      </c>
      <c r="D317" t="inlineStr">
        <is>
          <t>ÖREBRO LÄN</t>
        </is>
      </c>
      <c r="E317" t="inlineStr">
        <is>
          <t>KARLSKOGA</t>
        </is>
      </c>
      <c r="F317" t="inlineStr">
        <is>
          <t>Kyrkan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35470-2024</t>
        </is>
      </c>
      <c r="B318" s="1" t="n">
        <v>45531</v>
      </c>
      <c r="C318" s="1" t="n">
        <v>45566</v>
      </c>
      <c r="D318" t="inlineStr">
        <is>
          <t>ÖREBRO LÄN</t>
        </is>
      </c>
      <c r="E318" t="inlineStr">
        <is>
          <t>KARLSKOGA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35445-2024</t>
        </is>
      </c>
      <c r="B319" s="1" t="n">
        <v>45531</v>
      </c>
      <c r="C319" s="1" t="n">
        <v>45566</v>
      </c>
      <c r="D319" t="inlineStr">
        <is>
          <t>ÖREBRO LÄN</t>
        </is>
      </c>
      <c r="E319" t="inlineStr">
        <is>
          <t>KARLSKOGA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35444-2024</t>
        </is>
      </c>
      <c r="B320" s="1" t="n">
        <v>45531</v>
      </c>
      <c r="C320" s="1" t="n">
        <v>45566</v>
      </c>
      <c r="D320" t="inlineStr">
        <is>
          <t>ÖREBRO LÄN</t>
        </is>
      </c>
      <c r="E320" t="inlineStr">
        <is>
          <t>KARLSKOGA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35471-2024</t>
        </is>
      </c>
      <c r="B321" s="1" t="n">
        <v>45531</v>
      </c>
      <c r="C321" s="1" t="n">
        <v>45566</v>
      </c>
      <c r="D321" t="inlineStr">
        <is>
          <t>ÖREBRO LÄN</t>
        </is>
      </c>
      <c r="E321" t="inlineStr">
        <is>
          <t>KARLSKOGA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37075-2024</t>
        </is>
      </c>
      <c r="B322" s="1" t="n">
        <v>45539</v>
      </c>
      <c r="C322" s="1" t="n">
        <v>45566</v>
      </c>
      <c r="D322" t="inlineStr">
        <is>
          <t>ÖREBRO LÄN</t>
        </is>
      </c>
      <c r="E322" t="inlineStr">
        <is>
          <t>KARLSKOGA</t>
        </is>
      </c>
      <c r="G322" t="n">
        <v>6.8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38190-2024</t>
        </is>
      </c>
      <c r="B323" s="1" t="n">
        <v>45545</v>
      </c>
      <c r="C323" s="1" t="n">
        <v>45566</v>
      </c>
      <c r="D323" t="inlineStr">
        <is>
          <t>ÖREBRO LÄN</t>
        </is>
      </c>
      <c r="E323" t="inlineStr">
        <is>
          <t>KARLSKOGA</t>
        </is>
      </c>
      <c r="G323" t="n">
        <v>2.1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38196-2024</t>
        </is>
      </c>
      <c r="B324" s="1" t="n">
        <v>45545</v>
      </c>
      <c r="C324" s="1" t="n">
        <v>45566</v>
      </c>
      <c r="D324" t="inlineStr">
        <is>
          <t>ÖREBRO LÄN</t>
        </is>
      </c>
      <c r="E324" t="inlineStr">
        <is>
          <t>KARLSKOGA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39936-2024</t>
        </is>
      </c>
      <c r="B325" s="1" t="n">
        <v>45553</v>
      </c>
      <c r="C325" s="1" t="n">
        <v>45566</v>
      </c>
      <c r="D325" t="inlineStr">
        <is>
          <t>ÖREBRO LÄN</t>
        </is>
      </c>
      <c r="E325" t="inlineStr">
        <is>
          <t>KARLSKOGA</t>
        </is>
      </c>
      <c r="G325" t="n">
        <v>6.4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40528-2024</t>
        </is>
      </c>
      <c r="B326" s="1" t="n">
        <v>45555</v>
      </c>
      <c r="C326" s="1" t="n">
        <v>45566</v>
      </c>
      <c r="D326" t="inlineStr">
        <is>
          <t>ÖREBRO LÄN</t>
        </is>
      </c>
      <c r="E326" t="inlineStr">
        <is>
          <t>KARLSKOGA</t>
        </is>
      </c>
      <c r="G326" t="n">
        <v>2.8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>
      <c r="A327" t="inlineStr">
        <is>
          <t>A 40455-2024</t>
        </is>
      </c>
      <c r="B327" s="1" t="n">
        <v>45555</v>
      </c>
      <c r="C327" s="1" t="n">
        <v>45566</v>
      </c>
      <c r="D327" t="inlineStr">
        <is>
          <t>ÖREBRO LÄN</t>
        </is>
      </c>
      <c r="E327" t="inlineStr">
        <is>
          <t>KARLSKOGA</t>
        </is>
      </c>
      <c r="G327" t="n">
        <v>2.5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2024-10-01T12:12:35Z</dcterms:created>
  <dcterms:modified xmlns:dcterms="http://purl.org/dc/terms/" xmlns:xsi="http://www.w3.org/2001/XMLSchema-instance" xsi:type="dcterms:W3CDTF">2024-10-01T12:12:36Z</dcterms:modified>
</cp:coreProperties>
</file>