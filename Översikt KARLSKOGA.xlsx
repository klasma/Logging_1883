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46013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46013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46013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46013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46013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46013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46013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46013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26651-2025</t>
        </is>
      </c>
      <c r="B10" s="1" t="n">
        <v>45810</v>
      </c>
      <c r="C10" s="1" t="n">
        <v>46013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HYPERLINK("https://klasma.github.io/Logging_1883/artfynd/A 26651-2025 artfynd.xlsx", "A 26651-2025")</f>
        <v/>
      </c>
      <c r="T10">
        <f>HYPERLINK("https://klasma.github.io/Logging_1883/kartor/A 26651-2025 karta.png", "A 26651-2025")</f>
        <v/>
      </c>
      <c r="V10">
        <f>HYPERLINK("https://klasma.github.io/Logging_1883/klagomål/A 26651-2025 FSC-klagomål.docx", "A 26651-2025")</f>
        <v/>
      </c>
      <c r="W10">
        <f>HYPERLINK("https://klasma.github.io/Logging_1883/klagomålsmail/A 26651-2025 FSC-klagomål mail.docx", "A 26651-2025")</f>
        <v/>
      </c>
      <c r="X10">
        <f>HYPERLINK("https://klasma.github.io/Logging_1883/tillsyn/A 26651-2025 tillsynsbegäran.docx", "A 26651-2025")</f>
        <v/>
      </c>
      <c r="Y10">
        <f>HYPERLINK("https://klasma.github.io/Logging_1883/tillsynsmail/A 26651-2025 tillsynsbegäran mail.docx", "A 26651-2025")</f>
        <v/>
      </c>
    </row>
    <row r="11" ht="15" customHeight="1">
      <c r="A11" t="inlineStr">
        <is>
          <t>A 32081-2025</t>
        </is>
      </c>
      <c r="B11" s="1" t="n">
        <v>45835.45203703704</v>
      </c>
      <c r="C11" s="1" t="n">
        <v>46013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HYPERLINK("https://klasma.github.io/Logging_1883/artfynd/A 32081-2025 artfynd.xlsx", "A 32081-2025")</f>
        <v/>
      </c>
      <c r="T11">
        <f>HYPERLINK("https://klasma.github.io/Logging_1883/kartor/A 32081-2025 karta.png", "A 32081-2025")</f>
        <v/>
      </c>
      <c r="V11">
        <f>HYPERLINK("https://klasma.github.io/Logging_1883/klagomål/A 32081-2025 FSC-klagomål.docx", "A 32081-2025")</f>
        <v/>
      </c>
      <c r="W11">
        <f>HYPERLINK("https://klasma.github.io/Logging_1883/klagomålsmail/A 32081-2025 FSC-klagomål mail.docx", "A 32081-2025")</f>
        <v/>
      </c>
      <c r="X11">
        <f>HYPERLINK("https://klasma.github.io/Logging_1883/tillsyn/A 32081-2025 tillsynsbegäran.docx", "A 32081-2025")</f>
        <v/>
      </c>
      <c r="Y11">
        <f>HYPERLINK("https://klasma.github.io/Logging_1883/tillsynsmail/A 32081-2025 tillsynsbegäran mail.docx", "A 32081-2025")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46013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46013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46013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59512-2025</t>
        </is>
      </c>
      <c r="B15" s="1" t="n">
        <v>45989.64748842592</v>
      </c>
      <c r="C15" s="1" t="n">
        <v>46013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59512-2025 artfynd.xlsx", "A 59512-2025")</f>
        <v/>
      </c>
      <c r="T15">
        <f>HYPERLINK("https://klasma.github.io/Logging_1883/kartor/A 59512-2025 karta.png", "A 59512-2025")</f>
        <v/>
      </c>
      <c r="V15">
        <f>HYPERLINK("https://klasma.github.io/Logging_1883/klagomål/A 59512-2025 FSC-klagomål.docx", "A 59512-2025")</f>
        <v/>
      </c>
      <c r="W15">
        <f>HYPERLINK("https://klasma.github.io/Logging_1883/klagomålsmail/A 59512-2025 FSC-klagomål mail.docx", "A 59512-2025")</f>
        <v/>
      </c>
      <c r="X15">
        <f>HYPERLINK("https://klasma.github.io/Logging_1883/tillsyn/A 59512-2025 tillsynsbegäran.docx", "A 59512-2025")</f>
        <v/>
      </c>
      <c r="Y15">
        <f>HYPERLINK("https://klasma.github.io/Logging_1883/tillsynsmail/A 59512-2025 tillsynsbegäran mail.docx", "A 59512-2025")</f>
        <v/>
      </c>
    </row>
    <row r="16" ht="15" customHeight="1">
      <c r="A16" t="inlineStr">
        <is>
          <t>A 59511-2025</t>
        </is>
      </c>
      <c r="B16" s="1" t="n">
        <v>45989.64694444444</v>
      </c>
      <c r="C16" s="1" t="n">
        <v>46013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59511-2025 artfynd.xlsx", "A 59511-2025")</f>
        <v/>
      </c>
      <c r="T16">
        <f>HYPERLINK("https://klasma.github.io/Logging_1883/kartor/A 59511-2025 karta.png", "A 59511-2025")</f>
        <v/>
      </c>
      <c r="V16">
        <f>HYPERLINK("https://klasma.github.io/Logging_1883/klagomål/A 59511-2025 FSC-klagomål.docx", "A 59511-2025")</f>
        <v/>
      </c>
      <c r="W16">
        <f>HYPERLINK("https://klasma.github.io/Logging_1883/klagomålsmail/A 59511-2025 FSC-klagomål mail.docx", "A 59511-2025")</f>
        <v/>
      </c>
      <c r="X16">
        <f>HYPERLINK("https://klasma.github.io/Logging_1883/tillsyn/A 59511-2025 tillsynsbegäran.docx", "A 59511-2025")</f>
        <v/>
      </c>
      <c r="Y16">
        <f>HYPERLINK("https://klasma.github.io/Logging_1883/tillsynsmail/A 59511-2025 tillsynsbegäran mail.docx", "A 59511-2025")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46013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46013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46013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46013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46013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46013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46013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46013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46013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46013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46013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46013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46013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46013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46013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46013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46013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46013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46013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46013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46013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46013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46013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46013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46013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46013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46013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46013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46013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46013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46013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46013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46013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46013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46013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46013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46013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46013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46013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46013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46013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46013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46013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46013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46013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28566-2024</t>
        </is>
      </c>
      <c r="B62" s="1" t="n">
        <v>45478.38914351852</v>
      </c>
      <c r="C62" s="1" t="n">
        <v>46013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50863-2024</t>
        </is>
      </c>
      <c r="B63" s="1" t="n">
        <v>45602.63560185185</v>
      </c>
      <c r="C63" s="1" t="n">
        <v>46013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58091-2022</t>
        </is>
      </c>
      <c r="B64" s="1" t="n">
        <v>44900</v>
      </c>
      <c r="C64" s="1" t="n">
        <v>46013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23716-2025</t>
        </is>
      </c>
      <c r="B65" s="1" t="n">
        <v>45793.39087962963</v>
      </c>
      <c r="C65" s="1" t="n">
        <v>46013</v>
      </c>
      <c r="D65" t="inlineStr">
        <is>
          <t>ÖREBRO LÄN</t>
        </is>
      </c>
      <c r="E65" t="inlineStr">
        <is>
          <t>KARLSKOGA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46013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46013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46013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46013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24099-2025</t>
        </is>
      </c>
      <c r="B70" s="1" t="n">
        <v>45796</v>
      </c>
      <c r="C70" s="1" t="n">
        <v>46013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20289-2024</t>
        </is>
      </c>
      <c r="B71" s="1" t="n">
        <v>45435.30835648148</v>
      </c>
      <c r="C71" s="1" t="n">
        <v>46013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46013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46013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38190-2024</t>
        </is>
      </c>
      <c r="B74" s="1" t="n">
        <v>45545.49076388889</v>
      </c>
      <c r="C74" s="1" t="n">
        <v>46013</v>
      </c>
      <c r="D74" t="inlineStr">
        <is>
          <t>ÖREBRO LÄN</t>
        </is>
      </c>
      <c r="E74" t="inlineStr">
        <is>
          <t>KARLSKOGA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46013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46013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46013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17815-2025</t>
        </is>
      </c>
      <c r="B78" s="1" t="n">
        <v>45758.56148148148</v>
      </c>
      <c r="C78" s="1" t="n">
        <v>46013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4058-2022</t>
        </is>
      </c>
      <c r="B79" s="1" t="n">
        <v>44588</v>
      </c>
      <c r="C79" s="1" t="n">
        <v>46013</v>
      </c>
      <c r="D79" t="inlineStr">
        <is>
          <t>ÖREBRO LÄN</t>
        </is>
      </c>
      <c r="E79" t="inlineStr">
        <is>
          <t>KARLSKOGA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46013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15254-2025</t>
        </is>
      </c>
      <c r="B81" s="1" t="n">
        <v>45744.64983796296</v>
      </c>
      <c r="C81" s="1" t="n">
        <v>46013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15256-2025</t>
        </is>
      </c>
      <c r="B82" s="1" t="n">
        <v>45744.65391203704</v>
      </c>
      <c r="C82" s="1" t="n">
        <v>46013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41267-2025</t>
        </is>
      </c>
      <c r="B83" s="1" t="n">
        <v>45898.61796296296</v>
      </c>
      <c r="C83" s="1" t="n">
        <v>46013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46013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46013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46013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46013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30102-2025</t>
        </is>
      </c>
      <c r="B88" s="1" t="n">
        <v>45826.68414351852</v>
      </c>
      <c r="C88" s="1" t="n">
        <v>46013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35444-2024</t>
        </is>
      </c>
      <c r="B89" s="1" t="n">
        <v>45531.43599537037</v>
      </c>
      <c r="C89" s="1" t="n">
        <v>46013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46013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46013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53647-2023</t>
        </is>
      </c>
      <c r="B92" s="1" t="n">
        <v>45230.6046875</v>
      </c>
      <c r="C92" s="1" t="n">
        <v>46013</v>
      </c>
      <c r="D92" t="inlineStr">
        <is>
          <t>ÖREBRO LÄN</t>
        </is>
      </c>
      <c r="E92" t="inlineStr">
        <is>
          <t>KARLSKOGA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34585-2021</t>
        </is>
      </c>
      <c r="B93" s="1" t="n">
        <v>44382.47526620371</v>
      </c>
      <c r="C93" s="1" t="n">
        <v>46013</v>
      </c>
      <c r="D93" t="inlineStr">
        <is>
          <t>ÖREBRO LÄN</t>
        </is>
      </c>
      <c r="E93" t="inlineStr">
        <is>
          <t>KARLSKOGA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23620-2024</t>
        </is>
      </c>
      <c r="B94" s="1" t="n">
        <v>45454</v>
      </c>
      <c r="C94" s="1" t="n">
        <v>46013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47222-2024</t>
        </is>
      </c>
      <c r="B95" s="1" t="n">
        <v>45586</v>
      </c>
      <c r="C95" s="1" t="n">
        <v>46013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58390-2024</t>
        </is>
      </c>
      <c r="B96" s="1" t="n">
        <v>45633.6719212963</v>
      </c>
      <c r="C96" s="1" t="n">
        <v>46013</v>
      </c>
      <c r="D96" t="inlineStr">
        <is>
          <t>ÖREBRO LÄN</t>
        </is>
      </c>
      <c r="E96" t="inlineStr">
        <is>
          <t>KARLSKOGA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43772-2025</t>
        </is>
      </c>
      <c r="B97" s="1" t="n">
        <v>45912.50550925926</v>
      </c>
      <c r="C97" s="1" t="n">
        <v>46013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31397-2025</t>
        </is>
      </c>
      <c r="B98" s="1" t="n">
        <v>45833</v>
      </c>
      <c r="C98" s="1" t="n">
        <v>46013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32287-2025</t>
        </is>
      </c>
      <c r="B99" s="1" t="n">
        <v>45835.6914699074</v>
      </c>
      <c r="C99" s="1" t="n">
        <v>46013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44946-2025</t>
        </is>
      </c>
      <c r="B100" s="1" t="n">
        <v>45918.6046875</v>
      </c>
      <c r="C100" s="1" t="n">
        <v>46013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18768-2025</t>
        </is>
      </c>
      <c r="B101" s="1" t="n">
        <v>45764.29767361111</v>
      </c>
      <c r="C101" s="1" t="n">
        <v>46013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44949-2025</t>
        </is>
      </c>
      <c r="B102" s="1" t="n">
        <v>45918.60568287037</v>
      </c>
      <c r="C102" s="1" t="n">
        <v>46013</v>
      </c>
      <c r="D102" t="inlineStr">
        <is>
          <t>ÖREBRO LÄN</t>
        </is>
      </c>
      <c r="E102" t="inlineStr">
        <is>
          <t>KARLSKOGA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42803-2023</t>
        </is>
      </c>
      <c r="B103" s="1" t="n">
        <v>45182</v>
      </c>
      <c r="C103" s="1" t="n">
        <v>46013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46013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32870-2025</t>
        </is>
      </c>
      <c r="B105" s="1" t="n">
        <v>45839.58939814815</v>
      </c>
      <c r="C105" s="1" t="n">
        <v>46013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48167-2024</t>
        </is>
      </c>
      <c r="B106" s="1" t="n">
        <v>45589.73996527777</v>
      </c>
      <c r="C106" s="1" t="n">
        <v>46013</v>
      </c>
      <c r="D106" t="inlineStr">
        <is>
          <t>ÖREBRO LÄN</t>
        </is>
      </c>
      <c r="E106" t="inlineStr">
        <is>
          <t>KARLSKOGA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46013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46013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9510-2023</t>
        </is>
      </c>
      <c r="B109" s="1" t="n">
        <v>44981.64696759259</v>
      </c>
      <c r="C109" s="1" t="n">
        <v>46013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57212-2025</t>
        </is>
      </c>
      <c r="B110" s="1" t="n">
        <v>45979.60140046296</v>
      </c>
      <c r="C110" s="1" t="n">
        <v>46013</v>
      </c>
      <c r="D110" t="inlineStr">
        <is>
          <t>ÖREBRO LÄN</t>
        </is>
      </c>
      <c r="E110" t="inlineStr">
        <is>
          <t>KARLSKOGA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46013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37332-2025</t>
        </is>
      </c>
      <c r="B112" s="1" t="n">
        <v>45876.65920138889</v>
      </c>
      <c r="C112" s="1" t="n">
        <v>46013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59025-2024</t>
        </is>
      </c>
      <c r="B113" s="1" t="n">
        <v>45636.68592592593</v>
      </c>
      <c r="C113" s="1" t="n">
        <v>46013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37737-2025</t>
        </is>
      </c>
      <c r="B114" s="1" t="n">
        <v>45880.63737268518</v>
      </c>
      <c r="C114" s="1" t="n">
        <v>46013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38071-2025</t>
        </is>
      </c>
      <c r="B115" s="1" t="n">
        <v>45882.4412037037</v>
      </c>
      <c r="C115" s="1" t="n">
        <v>46013</v>
      </c>
      <c r="D115" t="inlineStr">
        <is>
          <t>ÖREBRO LÄN</t>
        </is>
      </c>
      <c r="E115" t="inlineStr">
        <is>
          <t>KARLSKOGA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53619-2024</t>
        </is>
      </c>
      <c r="B116" s="1" t="n">
        <v>45614.73967592593</v>
      </c>
      <c r="C116" s="1" t="n">
        <v>46013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20470-2025</t>
        </is>
      </c>
      <c r="B117" s="1" t="n">
        <v>45775.54530092593</v>
      </c>
      <c r="C117" s="1" t="n">
        <v>46013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46013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13501-2025</t>
        </is>
      </c>
      <c r="B119" s="1" t="n">
        <v>45736.45362268519</v>
      </c>
      <c r="C119" s="1" t="n">
        <v>46013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47094-2023</t>
        </is>
      </c>
      <c r="B120" s="1" t="n">
        <v>45196</v>
      </c>
      <c r="C120" s="1" t="n">
        <v>46013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10506-2025</t>
        </is>
      </c>
      <c r="B121" s="1" t="n">
        <v>45721</v>
      </c>
      <c r="C121" s="1" t="n">
        <v>46013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46013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42804-2023</t>
        </is>
      </c>
      <c r="B123" s="1" t="n">
        <v>45182</v>
      </c>
      <c r="C123" s="1" t="n">
        <v>46013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39030-2022</t>
        </is>
      </c>
      <c r="B124" s="1" t="n">
        <v>44817.34023148148</v>
      </c>
      <c r="C124" s="1" t="n">
        <v>46013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46013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8244-2025</t>
        </is>
      </c>
      <c r="B126" s="1" t="n">
        <v>45708.4852662037</v>
      </c>
      <c r="C126" s="1" t="n">
        <v>46013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28100-2024</t>
        </is>
      </c>
      <c r="B127" s="1" t="n">
        <v>45476.61674768518</v>
      </c>
      <c r="C127" s="1" t="n">
        <v>46013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51344-2023</t>
        </is>
      </c>
      <c r="B128" s="1" t="n">
        <v>45219.59462962963</v>
      </c>
      <c r="C128" s="1" t="n">
        <v>46013</v>
      </c>
      <c r="D128" t="inlineStr">
        <is>
          <t>ÖREBRO LÄN</t>
        </is>
      </c>
      <c r="E128" t="inlineStr">
        <is>
          <t>KARLSKOGA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18468-2025</t>
        </is>
      </c>
      <c r="B129" s="1" t="n">
        <v>45762.73166666667</v>
      </c>
      <c r="C129" s="1" t="n">
        <v>46013</v>
      </c>
      <c r="D129" t="inlineStr">
        <is>
          <t>ÖREBRO LÄN</t>
        </is>
      </c>
      <c r="E129" t="inlineStr">
        <is>
          <t>KARLSKOGA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50958-2025</t>
        </is>
      </c>
      <c r="B130" s="1" t="n">
        <v>45946.78709490741</v>
      </c>
      <c r="C130" s="1" t="n">
        <v>46013</v>
      </c>
      <c r="D130" t="inlineStr">
        <is>
          <t>ÖREBRO LÄN</t>
        </is>
      </c>
      <c r="E130" t="inlineStr">
        <is>
          <t>KARLSKOGA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50957-2025</t>
        </is>
      </c>
      <c r="B131" s="1" t="n">
        <v>45946.78399305556</v>
      </c>
      <c r="C131" s="1" t="n">
        <v>46013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59522-2025</t>
        </is>
      </c>
      <c r="B132" s="1" t="n">
        <v>45989.6597800926</v>
      </c>
      <c r="C132" s="1" t="n">
        <v>46013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4587-2025</t>
        </is>
      </c>
      <c r="B133" s="1" t="n">
        <v>45687.51668981482</v>
      </c>
      <c r="C133" s="1" t="n">
        <v>46013</v>
      </c>
      <c r="D133" t="inlineStr">
        <is>
          <t>ÖREBRO LÄN</t>
        </is>
      </c>
      <c r="E133" t="inlineStr">
        <is>
          <t>KARLSKOGA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58695-2025</t>
        </is>
      </c>
      <c r="B134" s="1" t="n">
        <v>45986.58576388889</v>
      </c>
      <c r="C134" s="1" t="n">
        <v>46013</v>
      </c>
      <c r="D134" t="inlineStr">
        <is>
          <t>ÖREBRO LÄN</t>
        </is>
      </c>
      <c r="E134" t="inlineStr">
        <is>
          <t>KARLSKOGA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46013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46013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60508-2025</t>
        </is>
      </c>
      <c r="B137" s="1" t="n">
        <v>45995.63013888889</v>
      </c>
      <c r="C137" s="1" t="n">
        <v>46013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60470-2025</t>
        </is>
      </c>
      <c r="B138" s="1" t="n">
        <v>45995.565625</v>
      </c>
      <c r="C138" s="1" t="n">
        <v>46013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60506-2025</t>
        </is>
      </c>
      <c r="B139" s="1" t="n">
        <v>45995.62744212963</v>
      </c>
      <c r="C139" s="1" t="n">
        <v>46013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60503-2025</t>
        </is>
      </c>
      <c r="B140" s="1" t="n">
        <v>45995.62199074074</v>
      </c>
      <c r="C140" s="1" t="n">
        <v>46013</v>
      </c>
      <c r="D140" t="inlineStr">
        <is>
          <t>ÖREBRO LÄN</t>
        </is>
      </c>
      <c r="E140" t="inlineStr">
        <is>
          <t>KARLSKOGA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60465-2025</t>
        </is>
      </c>
      <c r="B141" s="1" t="n">
        <v>45995.55730324074</v>
      </c>
      <c r="C141" s="1" t="n">
        <v>46013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52377-2025</t>
        </is>
      </c>
      <c r="B142" s="1" t="n">
        <v>45953.94622685185</v>
      </c>
      <c r="C142" s="1" t="n">
        <v>46013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20463-2025</t>
        </is>
      </c>
      <c r="B143" s="1" t="n">
        <v>45775.53664351852</v>
      </c>
      <c r="C143" s="1" t="n">
        <v>46013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28471-2023</t>
        </is>
      </c>
      <c r="B144" s="1" t="n">
        <v>45103.41175925926</v>
      </c>
      <c r="C144" s="1" t="n">
        <v>46013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15255-2025</t>
        </is>
      </c>
      <c r="B145" s="1" t="n">
        <v>45744.65173611111</v>
      </c>
      <c r="C145" s="1" t="n">
        <v>46013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52379-2025</t>
        </is>
      </c>
      <c r="B146" s="1" t="n">
        <v>45953.94826388889</v>
      </c>
      <c r="C146" s="1" t="n">
        <v>46013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16881-2023</t>
        </is>
      </c>
      <c r="B147" s="1" t="n">
        <v>45033</v>
      </c>
      <c r="C147" s="1" t="n">
        <v>46013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52376-2025</t>
        </is>
      </c>
      <c r="B148" s="1" t="n">
        <v>45953.94524305555</v>
      </c>
      <c r="C148" s="1" t="n">
        <v>46013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46013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61396-2023</t>
        </is>
      </c>
      <c r="B150" s="1" t="n">
        <v>45264.64989583333</v>
      </c>
      <c r="C150" s="1" t="n">
        <v>46013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46013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61271-2022</t>
        </is>
      </c>
      <c r="B152" s="1" t="n">
        <v>44909</v>
      </c>
      <c r="C152" s="1" t="n">
        <v>46013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46013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46013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63188-2025</t>
        </is>
      </c>
      <c r="B155" s="1" t="n">
        <v>46010.44494212963</v>
      </c>
      <c r="C155" s="1" t="n">
        <v>46013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55025-2025</t>
        </is>
      </c>
      <c r="B156" s="1" t="n">
        <v>45967.63591435185</v>
      </c>
      <c r="C156" s="1" t="n">
        <v>46013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64060-2023</t>
        </is>
      </c>
      <c r="B157" s="1" t="n">
        <v>45279.35636574074</v>
      </c>
      <c r="C157" s="1" t="n">
        <v>46013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14215-2024</t>
        </is>
      </c>
      <c r="B158" s="1" t="n">
        <v>45393</v>
      </c>
      <c r="C158" s="1" t="n">
        <v>46013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24116-2024</t>
        </is>
      </c>
      <c r="B159" s="1" t="n">
        <v>45456</v>
      </c>
      <c r="C159" s="1" t="n">
        <v>46013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55832-2023</t>
        </is>
      </c>
      <c r="B160" s="1" t="n">
        <v>45239.61148148148</v>
      </c>
      <c r="C160" s="1" t="n">
        <v>46013</v>
      </c>
      <c r="D160" t="inlineStr">
        <is>
          <t>ÖREBRO LÄN</t>
        </is>
      </c>
      <c r="E160" t="inlineStr">
        <is>
          <t>KARLSKOGA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10515-2023</t>
        </is>
      </c>
      <c r="B161" s="1" t="n">
        <v>44987.7978125</v>
      </c>
      <c r="C161" s="1" t="n">
        <v>46013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33011-2023</t>
        </is>
      </c>
      <c r="B162" s="1" t="n">
        <v>45125</v>
      </c>
      <c r="C162" s="1" t="n">
        <v>46013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48168-2024</t>
        </is>
      </c>
      <c r="B163" s="1" t="n">
        <v>45589.74410879629</v>
      </c>
      <c r="C163" s="1" t="n">
        <v>46013</v>
      </c>
      <c r="D163" t="inlineStr">
        <is>
          <t>ÖREBRO LÄN</t>
        </is>
      </c>
      <c r="E163" t="inlineStr">
        <is>
          <t>KARLSKOGA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13454-2022</t>
        </is>
      </c>
      <c r="B164" s="1" t="n">
        <v>44645</v>
      </c>
      <c r="C164" s="1" t="n">
        <v>46013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10743-2023</t>
        </is>
      </c>
      <c r="B165" s="1" t="n">
        <v>44988.70174768518</v>
      </c>
      <c r="C165" s="1" t="n">
        <v>46013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50611-2024</t>
        </is>
      </c>
      <c r="B166" s="1" t="n">
        <v>45601.63069444444</v>
      </c>
      <c r="C166" s="1" t="n">
        <v>46013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42802-2023</t>
        </is>
      </c>
      <c r="B167" s="1" t="n">
        <v>45182</v>
      </c>
      <c r="C167" s="1" t="n">
        <v>46013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46013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46013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46013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46013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46013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6835-2025</t>
        </is>
      </c>
      <c r="B173" s="1" t="n">
        <v>45700.78726851852</v>
      </c>
      <c r="C173" s="1" t="n">
        <v>46013</v>
      </c>
      <c r="D173" t="inlineStr">
        <is>
          <t>ÖREBRO LÄN</t>
        </is>
      </c>
      <c r="E173" t="inlineStr">
        <is>
          <t>KARLSKOGA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46013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3227-2025</t>
        </is>
      </c>
      <c r="B175" s="1" t="n">
        <v>45679</v>
      </c>
      <c r="C175" s="1" t="n">
        <v>46013</v>
      </c>
      <c r="D175" t="inlineStr">
        <is>
          <t>ÖREBRO LÄN</t>
        </is>
      </c>
      <c r="E175" t="inlineStr">
        <is>
          <t>KARLSKOGA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46013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46013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46013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46013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46013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46013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46013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46013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46013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46013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46013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46013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46013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46013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46013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46013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46013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46013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46013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46013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46013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46013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46013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46013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46013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46013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46013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46013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46013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46013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46013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46013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46013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46013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46013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46013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46013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46013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46013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46013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46013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46013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46013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46013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46013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46013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46013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46013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23308-2025</t>
        </is>
      </c>
      <c r="B224" s="1" t="n">
        <v>45791.6047800926</v>
      </c>
      <c r="C224" s="1" t="n">
        <v>46013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2025-12-22T10:32:00Z</dcterms:created>
  <dcterms:modified xmlns:dcterms="http://purl.org/dc/terms/" xmlns:xsi="http://www.w3.org/2001/XMLSchema-instance" xsi:type="dcterms:W3CDTF">2025-12-22T10:32:01Z</dcterms:modified>
</cp:coreProperties>
</file>