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45765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45765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45765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45765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45765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45765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45765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45765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46597-2024</t>
        </is>
      </c>
      <c r="B10" s="1" t="n">
        <v>45582</v>
      </c>
      <c r="C10" s="1" t="n">
        <v>45765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Kattfotslav
Tjäder</t>
        </is>
      </c>
      <c r="S10">
        <f>HYPERLINK("https://klasma.github.io/Logging_1883/artfynd/A 46597-2024 artfynd.xlsx", "A 46597-2024")</f>
        <v/>
      </c>
      <c r="T10">
        <f>HYPERLINK("https://klasma.github.io/Logging_1883/kartor/A 46597-2024 karta.png", "A 46597-2024")</f>
        <v/>
      </c>
      <c r="V10">
        <f>HYPERLINK("https://klasma.github.io/Logging_1883/klagomål/A 46597-2024 FSC-klagomål.docx", "A 46597-2024")</f>
        <v/>
      </c>
      <c r="W10">
        <f>HYPERLINK("https://klasma.github.io/Logging_1883/klagomålsmail/A 46597-2024 FSC-klagomål mail.docx", "A 46597-2024")</f>
        <v/>
      </c>
      <c r="X10">
        <f>HYPERLINK("https://klasma.github.io/Logging_1883/tillsyn/A 46597-2024 tillsynsbegäran.docx", "A 46597-2024")</f>
        <v/>
      </c>
      <c r="Y10">
        <f>HYPERLINK("https://klasma.github.io/Logging_1883/tillsynsmail/A 46597-2024 tillsynsbegäran mail.docx", "A 46597-2024")</f>
        <v/>
      </c>
      <c r="Z10">
        <f>HYPERLINK("https://klasma.github.io/Logging_1883/fåglar/A 46597-2024 prioriterade fågelarter.docx", "A 46597-2024")</f>
        <v/>
      </c>
    </row>
    <row r="11" ht="15" customHeight="1">
      <c r="A11" t="inlineStr">
        <is>
          <t>A 15258-2025</t>
        </is>
      </c>
      <c r="B11" s="1" t="n">
        <v>45744</v>
      </c>
      <c r="C11" s="1" t="n">
        <v>45765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3.8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Järpe
Talltita
Tjäder</t>
        </is>
      </c>
      <c r="S11">
        <f>HYPERLINK("https://klasma.github.io/Logging_181883/artfynd/A 15258-2025 artfynd.xlsx", "A 15258-2025")</f>
        <v/>
      </c>
      <c r="T11">
        <f>HYPERLINK("https://klasma.github.io/Logging_181883/kartor/A 15258-2025 karta.png", "A 15258-2025")</f>
        <v/>
      </c>
      <c r="V11">
        <f>HYPERLINK("https://klasma.github.io/Logging_181883/klagomål/A 15258-2025 FSC-klagomål.docx", "A 15258-2025")</f>
        <v/>
      </c>
      <c r="W11">
        <f>HYPERLINK("https://klasma.github.io/Logging_181883/klagomålsmail/A 15258-2025 FSC-klagomål mail.docx", "A 15258-2025")</f>
        <v/>
      </c>
      <c r="X11">
        <f>HYPERLINK("https://klasma.github.io/Logging_181883/tillsyn/A 15258-2025 tillsynsbegäran.docx", "A 15258-2025")</f>
        <v/>
      </c>
      <c r="Y11">
        <f>HYPERLINK("https://klasma.github.io/Logging_181883/tillsynsmail/A 15258-2025 tillsynsbegäran mail.docx", "A 15258-2025")</f>
        <v/>
      </c>
      <c r="Z11">
        <f>HYPERLINK("https://klasma.github.io/Logging_181883/fåglar/A 15258-2025 prioriterade fågelarter.docx", "A 15258-2025")</f>
        <v/>
      </c>
    </row>
    <row r="12" ht="15" customHeight="1">
      <c r="A12" t="inlineStr">
        <is>
          <t>A 54421-2019</t>
        </is>
      </c>
      <c r="B12" s="1" t="n">
        <v>43754</v>
      </c>
      <c r="C12" s="1" t="n">
        <v>45765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Spillkråka</t>
        </is>
      </c>
      <c r="S12">
        <f>HYPERLINK("https://klasma.github.io/Logging_1883/artfynd/A 54421-2019 artfynd.xlsx", "A 54421-2019")</f>
        <v/>
      </c>
      <c r="T12">
        <f>HYPERLINK("https://klasma.github.io/Logging_1883/kartor/A 54421-2019 karta.png", "A 54421-2019")</f>
        <v/>
      </c>
      <c r="U12">
        <f>HYPERLINK("https://klasma.github.io/Logging_1883/knärot/A 54421-2019 karta knärot.png", "A 54421-2019")</f>
        <v/>
      </c>
      <c r="V12">
        <f>HYPERLINK("https://klasma.github.io/Logging_1883/klagomål/A 54421-2019 FSC-klagomål.docx", "A 54421-2019")</f>
        <v/>
      </c>
      <c r="W12">
        <f>HYPERLINK("https://klasma.github.io/Logging_1883/klagomålsmail/A 54421-2019 FSC-klagomål mail.docx", "A 54421-2019")</f>
        <v/>
      </c>
      <c r="X12">
        <f>HYPERLINK("https://klasma.github.io/Logging_1883/tillsyn/A 54421-2019 tillsynsbegäran.docx", "A 54421-2019")</f>
        <v/>
      </c>
      <c r="Y12">
        <f>HYPERLINK("https://klasma.github.io/Logging_1883/tillsynsmail/A 54421-2019 tillsynsbegäran mail.docx", "A 54421-2019")</f>
        <v/>
      </c>
      <c r="Z12">
        <f>HYPERLINK("https://klasma.github.io/Logging_1883/fåglar/A 54421-2019 prioriterade fågelarter.docx", "A 54421-2019")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45765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45765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45765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45765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45765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45765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45765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45765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45765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5814-2023</t>
        </is>
      </c>
      <c r="B22" s="1" t="n">
        <v>44963</v>
      </c>
      <c r="C22" s="1" t="n">
        <v>45765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4.9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HYPERLINK("https://klasma.github.io/Logging_1883/artfynd/A 5814-2023 artfynd.xlsx", "A 5814-2023")</f>
        <v/>
      </c>
      <c r="T22">
        <f>HYPERLINK("https://klasma.github.io/Logging_1883/kartor/A 5814-2023 karta.png", "A 5814-2023")</f>
        <v/>
      </c>
      <c r="V22">
        <f>HYPERLINK("https://klasma.github.io/Logging_1883/klagomål/A 5814-2023 FSC-klagomål.docx", "A 5814-2023")</f>
        <v/>
      </c>
      <c r="W22">
        <f>HYPERLINK("https://klasma.github.io/Logging_1883/klagomålsmail/A 5814-2023 FSC-klagomål mail.docx", "A 5814-2023")</f>
        <v/>
      </c>
      <c r="X22">
        <f>HYPERLINK("https://klasma.github.io/Logging_1883/tillsyn/A 5814-2023 tillsynsbegäran.docx", "A 5814-2023")</f>
        <v/>
      </c>
      <c r="Y22">
        <f>HYPERLINK("https://klasma.github.io/Logging_1883/tillsynsmail/A 5814-2023 tillsynsbegäran mail.docx", "A 5814-2023")</f>
        <v/>
      </c>
    </row>
    <row r="23" ht="15" customHeight="1">
      <c r="A23" t="inlineStr">
        <is>
          <t>A 53626-2023</t>
        </is>
      </c>
      <c r="B23" s="1" t="n">
        <v>45230</v>
      </c>
      <c r="C23" s="1" t="n">
        <v>45765</v>
      </c>
      <c r="D23" t="inlineStr">
        <is>
          <t>ÖREBRO LÄN</t>
        </is>
      </c>
      <c r="E23" t="inlineStr">
        <is>
          <t>KARLSKOGA</t>
        </is>
      </c>
      <c r="G23" t="n">
        <v>7.5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HYPERLINK("https://klasma.github.io/Logging_1883/artfynd/A 53626-2023 artfynd.xlsx", "A 53626-2023")</f>
        <v/>
      </c>
      <c r="T23">
        <f>HYPERLINK("https://klasma.github.io/Logging_1883/kartor/A 53626-2023 karta.png", "A 53626-2023")</f>
        <v/>
      </c>
      <c r="V23">
        <f>HYPERLINK("https://klasma.github.io/Logging_1883/klagomål/A 53626-2023 FSC-klagomål.docx", "A 53626-2023")</f>
        <v/>
      </c>
      <c r="W23">
        <f>HYPERLINK("https://klasma.github.io/Logging_1883/klagomålsmail/A 53626-2023 FSC-klagomål mail.docx", "A 53626-2023")</f>
        <v/>
      </c>
      <c r="X23">
        <f>HYPERLINK("https://klasma.github.io/Logging_1883/tillsyn/A 53626-2023 tillsynsbegäran.docx", "A 53626-2023")</f>
        <v/>
      </c>
      <c r="Y23">
        <f>HYPERLINK("https://klasma.github.io/Logging_1883/tillsynsmail/A 53626-2023 tillsynsbegäran mail.docx", "A 53626-2023")</f>
        <v/>
      </c>
    </row>
    <row r="24" ht="15" customHeight="1">
      <c r="A24" t="inlineStr">
        <is>
          <t>A 22752-2024</t>
        </is>
      </c>
      <c r="B24" s="1" t="n">
        <v>45448</v>
      </c>
      <c r="C24" s="1" t="n">
        <v>45765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HYPERLINK("https://klasma.github.io/Logging_1883/artfynd/A 22752-2024 artfynd.xlsx", "A 22752-2024")</f>
        <v/>
      </c>
      <c r="T24">
        <f>HYPERLINK("https://klasma.github.io/Logging_1883/kartor/A 22752-2024 karta.png", "A 22752-2024")</f>
        <v/>
      </c>
      <c r="V24">
        <f>HYPERLINK("https://klasma.github.io/Logging_1883/klagomål/A 22752-2024 FSC-klagomål.docx", "A 22752-2024")</f>
        <v/>
      </c>
      <c r="W24">
        <f>HYPERLINK("https://klasma.github.io/Logging_1883/klagomålsmail/A 22752-2024 FSC-klagomål mail.docx", "A 22752-2024")</f>
        <v/>
      </c>
      <c r="X24">
        <f>HYPERLINK("https://klasma.github.io/Logging_1883/tillsyn/A 22752-2024 tillsynsbegäran.docx", "A 22752-2024")</f>
        <v/>
      </c>
      <c r="Y24">
        <f>HYPERLINK("https://klasma.github.io/Logging_1883/tillsynsmail/A 22752-2024 tillsynsbegäran mail.docx", "A 22752-2024")</f>
        <v/>
      </c>
      <c r="Z24">
        <f>HYPERLINK("https://klasma.github.io/Logging_1883/fåglar/A 22752-2024 prioriterade fågelarter.docx", "A 22752-2024")</f>
        <v/>
      </c>
    </row>
    <row r="25" ht="15" customHeight="1">
      <c r="A25" t="inlineStr">
        <is>
          <t>A 24188-2024</t>
        </is>
      </c>
      <c r="B25" s="1" t="n">
        <v>45456</v>
      </c>
      <c r="C25" s="1" t="n">
        <v>45765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HYPERLINK("https://klasma.github.io/Logging_1883/artfynd/A 24188-2024 artfynd.xlsx", "A 24188-2024")</f>
        <v/>
      </c>
      <c r="T25">
        <f>HYPERLINK("https://klasma.github.io/Logging_1883/kartor/A 24188-2024 karta.png", "A 24188-2024")</f>
        <v/>
      </c>
      <c r="V25">
        <f>HYPERLINK("https://klasma.github.io/Logging_1883/klagomål/A 24188-2024 FSC-klagomål.docx", "A 24188-2024")</f>
        <v/>
      </c>
      <c r="W25">
        <f>HYPERLINK("https://klasma.github.io/Logging_1883/klagomålsmail/A 24188-2024 FSC-klagomål mail.docx", "A 24188-2024")</f>
        <v/>
      </c>
      <c r="X25">
        <f>HYPERLINK("https://klasma.github.io/Logging_1883/tillsyn/A 24188-2024 tillsynsbegäran.docx", "A 24188-2024")</f>
        <v/>
      </c>
      <c r="Y25">
        <f>HYPERLINK("https://klasma.github.io/Logging_1883/tillsynsmail/A 24188-2024 tillsynsbegäran mail.docx", "A 24188-2024")</f>
        <v/>
      </c>
    </row>
    <row r="26" ht="15" customHeight="1">
      <c r="A26" t="inlineStr">
        <is>
          <t>A 44769-2024</t>
        </is>
      </c>
      <c r="B26" s="1" t="n">
        <v>45574</v>
      </c>
      <c r="C26" s="1" t="n">
        <v>45765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7.4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HYPERLINK("https://klasma.github.io/Logging_1883/artfynd/A 44769-2024 artfynd.xlsx", "A 44769-2024")</f>
        <v/>
      </c>
      <c r="T26">
        <f>HYPERLINK("https://klasma.github.io/Logging_1883/kartor/A 44769-2024 karta.png", "A 44769-2024")</f>
        <v/>
      </c>
      <c r="V26">
        <f>HYPERLINK("https://klasma.github.io/Logging_1883/klagomål/A 44769-2024 FSC-klagomål.docx", "A 44769-2024")</f>
        <v/>
      </c>
      <c r="W26">
        <f>HYPERLINK("https://klasma.github.io/Logging_1883/klagomålsmail/A 44769-2024 FSC-klagomål mail.docx", "A 44769-2024")</f>
        <v/>
      </c>
      <c r="X26">
        <f>HYPERLINK("https://klasma.github.io/Logging_1883/tillsyn/A 44769-2024 tillsynsbegäran.docx", "A 44769-2024")</f>
        <v/>
      </c>
      <c r="Y26">
        <f>HYPERLINK("https://klasma.github.io/Logging_1883/tillsynsmail/A 44769-2024 tillsynsbegäran mail.docx", "A 44769-2024")</f>
        <v/>
      </c>
      <c r="Z26">
        <f>HYPERLINK("https://klasma.github.io/Logging_1883/fåglar/A 44769-2024 prioriterade fågelarter.docx", "A 44769-2024")</f>
        <v/>
      </c>
    </row>
    <row r="27" ht="15" customHeight="1">
      <c r="A27" t="inlineStr">
        <is>
          <t>A 52451-2024</t>
        </is>
      </c>
      <c r="B27" s="1" t="n">
        <v>45609</v>
      </c>
      <c r="C27" s="1" t="n">
        <v>45765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Dofttråding</t>
        </is>
      </c>
      <c r="S27">
        <f>HYPERLINK("https://klasma.github.io/Logging_1883/artfynd/A 52451-2024 artfynd.xlsx", "A 52451-2024")</f>
        <v/>
      </c>
      <c r="T27">
        <f>HYPERLINK("https://klasma.github.io/Logging_1883/kartor/A 52451-2024 karta.png", "A 52451-2024")</f>
        <v/>
      </c>
      <c r="V27">
        <f>HYPERLINK("https://klasma.github.io/Logging_1883/klagomål/A 52451-2024 FSC-klagomål.docx", "A 52451-2024")</f>
        <v/>
      </c>
      <c r="W27">
        <f>HYPERLINK("https://klasma.github.io/Logging_1883/klagomålsmail/A 52451-2024 FSC-klagomål mail.docx", "A 52451-2024")</f>
        <v/>
      </c>
      <c r="X27">
        <f>HYPERLINK("https://klasma.github.io/Logging_1883/tillsyn/A 52451-2024 tillsynsbegäran.docx", "A 52451-2024")</f>
        <v/>
      </c>
      <c r="Y27">
        <f>HYPERLINK("https://klasma.github.io/Logging_1883/tillsynsmail/A 52451-2024 tillsynsbegäran mail.docx", "A 52451-2024")</f>
        <v/>
      </c>
    </row>
    <row r="28" ht="15" customHeight="1">
      <c r="A28" t="inlineStr">
        <is>
          <t>A 368-2025</t>
        </is>
      </c>
      <c r="B28" s="1" t="n">
        <v>45661</v>
      </c>
      <c r="C28" s="1" t="n">
        <v>45765</v>
      </c>
      <c r="D28" t="inlineStr">
        <is>
          <t>ÖREBRO LÄN</t>
        </is>
      </c>
      <c r="E28" t="inlineStr">
        <is>
          <t>KARLSKOGA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HYPERLINK("https://klasma.github.io/Logging_1883/artfynd/A 368-2025 artfynd.xlsx", "A 368-2025")</f>
        <v/>
      </c>
      <c r="T28">
        <f>HYPERLINK("https://klasma.github.io/Logging_1883/kartor/A 368-2025 karta.png", "A 368-2025")</f>
        <v/>
      </c>
      <c r="V28">
        <f>HYPERLINK("https://klasma.github.io/Logging_1883/klagomål/A 368-2025 FSC-klagomål.docx", "A 368-2025")</f>
        <v/>
      </c>
      <c r="W28">
        <f>HYPERLINK("https://klasma.github.io/Logging_1883/klagomålsmail/A 368-2025 FSC-klagomål mail.docx", "A 368-2025")</f>
        <v/>
      </c>
      <c r="X28">
        <f>HYPERLINK("https://klasma.github.io/Logging_1883/tillsyn/A 368-2025 tillsynsbegäran.docx", "A 368-2025")</f>
        <v/>
      </c>
      <c r="Y28">
        <f>HYPERLINK("https://klasma.github.io/Logging_1883/tillsynsmail/A 368-2025 tillsynsbegäran mail.docx", "A 368-2025")</f>
        <v/>
      </c>
    </row>
    <row r="29" ht="15" customHeight="1">
      <c r="A29" t="inlineStr">
        <is>
          <t>A 18382-2019</t>
        </is>
      </c>
      <c r="B29" s="1" t="n">
        <v>43559</v>
      </c>
      <c r="C29" s="1" t="n">
        <v>45765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18461-2019</t>
        </is>
      </c>
      <c r="B30" s="1" t="n">
        <v>43559</v>
      </c>
      <c r="C30" s="1" t="n">
        <v>45765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19723-2019</t>
        </is>
      </c>
      <c r="B31" s="1" t="n">
        <v>43566</v>
      </c>
      <c r="C31" s="1" t="n">
        <v>45765</v>
      </c>
      <c r="D31" t="inlineStr">
        <is>
          <t>ÖREBRO LÄN</t>
        </is>
      </c>
      <c r="E31" t="inlineStr">
        <is>
          <t>KARLSKOGA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20547-2019</t>
        </is>
      </c>
      <c r="B32" s="1" t="n">
        <v>43572</v>
      </c>
      <c r="C32" s="1" t="n">
        <v>45765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22760-2019</t>
        </is>
      </c>
      <c r="B33" s="1" t="n">
        <v>43587</v>
      </c>
      <c r="C33" s="1" t="n">
        <v>45765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24090-2019</t>
        </is>
      </c>
      <c r="B34" s="1" t="n">
        <v>43598</v>
      </c>
      <c r="C34" s="1" t="n">
        <v>45765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25077-2019</t>
        </is>
      </c>
      <c r="B35" s="1" t="n">
        <v>43601</v>
      </c>
      <c r="C35" s="1" t="n">
        <v>45765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25084-2019</t>
        </is>
      </c>
      <c r="B36" s="1" t="n">
        <v>43601</v>
      </c>
      <c r="C36" s="1" t="n">
        <v>45765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34518-2019</t>
        </is>
      </c>
      <c r="B37" s="1" t="n">
        <v>43647</v>
      </c>
      <c r="C37" s="1" t="n">
        <v>45765</v>
      </c>
      <c r="D37" t="inlineStr">
        <is>
          <t>ÖREBRO LÄN</t>
        </is>
      </c>
      <c r="E37" t="inlineStr">
        <is>
          <t>KARLSKOGA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34524-2019</t>
        </is>
      </c>
      <c r="B38" s="1" t="n">
        <v>43647</v>
      </c>
      <c r="C38" s="1" t="n">
        <v>45765</v>
      </c>
      <c r="D38" t="inlineStr">
        <is>
          <t>ÖREBRO LÄN</t>
        </is>
      </c>
      <c r="E38" t="inlineStr">
        <is>
          <t>KARLSKOGA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37112-2019</t>
        </is>
      </c>
      <c r="B39" s="1" t="n">
        <v>43676</v>
      </c>
      <c r="C39" s="1" t="n">
        <v>45765</v>
      </c>
      <c r="D39" t="inlineStr">
        <is>
          <t>ÖREBRO LÄN</t>
        </is>
      </c>
      <c r="E39" t="inlineStr">
        <is>
          <t>KARLSKOGA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37728-2019</t>
        </is>
      </c>
      <c r="B40" s="1" t="n">
        <v>43682</v>
      </c>
      <c r="C40" s="1" t="n">
        <v>45765</v>
      </c>
      <c r="D40" t="inlineStr">
        <is>
          <t>ÖREBRO LÄN</t>
        </is>
      </c>
      <c r="E40" t="inlineStr">
        <is>
          <t>KARLSKOGA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38669-2019</t>
        </is>
      </c>
      <c r="B41" s="1" t="n">
        <v>43686</v>
      </c>
      <c r="C41" s="1" t="n">
        <v>45765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39322-2019</t>
        </is>
      </c>
      <c r="B42" s="1" t="n">
        <v>43690</v>
      </c>
      <c r="C42" s="1" t="n">
        <v>45765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39468-2019</t>
        </is>
      </c>
      <c r="B43" s="1" t="n">
        <v>43691</v>
      </c>
      <c r="C43" s="1" t="n">
        <v>45765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39469-2019</t>
        </is>
      </c>
      <c r="B44" s="1" t="n">
        <v>43691</v>
      </c>
      <c r="C44" s="1" t="n">
        <v>45765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44836-2019</t>
        </is>
      </c>
      <c r="B45" s="1" t="n">
        <v>43712</v>
      </c>
      <c r="C45" s="1" t="n">
        <v>45765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54389-2019</t>
        </is>
      </c>
      <c r="B46" s="1" t="n">
        <v>43747</v>
      </c>
      <c r="C46" s="1" t="n">
        <v>45765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54398-2019</t>
        </is>
      </c>
      <c r="B47" s="1" t="n">
        <v>43754</v>
      </c>
      <c r="C47" s="1" t="n">
        <v>45765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54423-2019</t>
        </is>
      </c>
      <c r="B48" s="1" t="n">
        <v>43754</v>
      </c>
      <c r="C48" s="1" t="n">
        <v>45765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54404-2019</t>
        </is>
      </c>
      <c r="B49" s="1" t="n">
        <v>43754</v>
      </c>
      <c r="C49" s="1" t="n">
        <v>45765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54409-2019</t>
        </is>
      </c>
      <c r="B50" s="1" t="n">
        <v>43754</v>
      </c>
      <c r="C50" s="1" t="n">
        <v>45765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54711-2019</t>
        </is>
      </c>
      <c r="B51" s="1" t="n">
        <v>43755</v>
      </c>
      <c r="C51" s="1" t="n">
        <v>45765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56698-2019</t>
        </is>
      </c>
      <c r="B52" s="1" t="n">
        <v>43763</v>
      </c>
      <c r="C52" s="1" t="n">
        <v>45765</v>
      </c>
      <c r="D52" t="inlineStr">
        <is>
          <t>ÖREBRO LÄN</t>
        </is>
      </c>
      <c r="E52" t="inlineStr">
        <is>
          <t>KARLSKOGA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62313-2019</t>
        </is>
      </c>
      <c r="B53" s="1" t="n">
        <v>43788</v>
      </c>
      <c r="C53" s="1" t="n">
        <v>45765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62317-2019</t>
        </is>
      </c>
      <c r="B54" s="1" t="n">
        <v>43788</v>
      </c>
      <c r="C54" s="1" t="n">
        <v>45765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67800-2019</t>
        </is>
      </c>
      <c r="B55" s="1" t="n">
        <v>43815</v>
      </c>
      <c r="C55" s="1" t="n">
        <v>45765</v>
      </c>
      <c r="D55" t="inlineStr">
        <is>
          <t>ÖREBRO LÄN</t>
        </is>
      </c>
      <c r="E55" t="inlineStr">
        <is>
          <t>KARLSKOGA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2134-2020</t>
        </is>
      </c>
      <c r="B56" s="1" t="n">
        <v>43839</v>
      </c>
      <c r="C56" s="1" t="n">
        <v>45765</v>
      </c>
      <c r="D56" t="inlineStr">
        <is>
          <t>ÖREBRO LÄN</t>
        </is>
      </c>
      <c r="E56" t="inlineStr">
        <is>
          <t>KARLSKOGA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4209-2020</t>
        </is>
      </c>
      <c r="B57" s="1" t="n">
        <v>43857</v>
      </c>
      <c r="C57" s="1" t="n">
        <v>45765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6064-2020</t>
        </is>
      </c>
      <c r="B58" s="1" t="n">
        <v>43865</v>
      </c>
      <c r="C58" s="1" t="n">
        <v>45765</v>
      </c>
      <c r="D58" t="inlineStr">
        <is>
          <t>ÖREBRO LÄN</t>
        </is>
      </c>
      <c r="E58" t="inlineStr">
        <is>
          <t>KARLSKOGA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6014-2020</t>
        </is>
      </c>
      <c r="B59" s="1" t="n">
        <v>43865</v>
      </c>
      <c r="C59" s="1" t="n">
        <v>45765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6081-2020</t>
        </is>
      </c>
      <c r="B60" s="1" t="n">
        <v>43865</v>
      </c>
      <c r="C60" s="1" t="n">
        <v>45765</v>
      </c>
      <c r="D60" t="inlineStr">
        <is>
          <t>ÖREBRO LÄN</t>
        </is>
      </c>
      <c r="E60" t="inlineStr">
        <is>
          <t>KARLSKOGA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6089-2020</t>
        </is>
      </c>
      <c r="B61" s="1" t="n">
        <v>43865</v>
      </c>
      <c r="C61" s="1" t="n">
        <v>45765</v>
      </c>
      <c r="D61" t="inlineStr">
        <is>
          <t>ÖREBRO LÄN</t>
        </is>
      </c>
      <c r="E61" t="inlineStr">
        <is>
          <t>KARLSKOGA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9712-2020</t>
        </is>
      </c>
      <c r="B62" s="1" t="n">
        <v>43881</v>
      </c>
      <c r="C62" s="1" t="n">
        <v>45765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10724-2020</t>
        </is>
      </c>
      <c r="B63" s="1" t="n">
        <v>43885</v>
      </c>
      <c r="C63" s="1" t="n">
        <v>45765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15167-2020</t>
        </is>
      </c>
      <c r="B64" s="1" t="n">
        <v>43912</v>
      </c>
      <c r="C64" s="1" t="n">
        <v>45765</v>
      </c>
      <c r="D64" t="inlineStr">
        <is>
          <t>ÖREBRO LÄN</t>
        </is>
      </c>
      <c r="E64" t="inlineStr">
        <is>
          <t>KARLSKOGA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15168-2020</t>
        </is>
      </c>
      <c r="B65" s="1" t="n">
        <v>43912</v>
      </c>
      <c r="C65" s="1" t="n">
        <v>45765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15170-2020</t>
        </is>
      </c>
      <c r="B66" s="1" t="n">
        <v>43912</v>
      </c>
      <c r="C66" s="1" t="n">
        <v>45765</v>
      </c>
      <c r="D66" t="inlineStr">
        <is>
          <t>ÖREBRO LÄN</t>
        </is>
      </c>
      <c r="E66" t="inlineStr">
        <is>
          <t>KARLSKOGA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16186-2020</t>
        </is>
      </c>
      <c r="B67" s="1" t="n">
        <v>43917</v>
      </c>
      <c r="C67" s="1" t="n">
        <v>45765</v>
      </c>
      <c r="D67" t="inlineStr">
        <is>
          <t>ÖREBRO LÄN</t>
        </is>
      </c>
      <c r="E67" t="inlineStr">
        <is>
          <t>KARLSKOGA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16185-2020</t>
        </is>
      </c>
      <c r="B68" s="1" t="n">
        <v>43917</v>
      </c>
      <c r="C68" s="1" t="n">
        <v>45765</v>
      </c>
      <c r="D68" t="inlineStr">
        <is>
          <t>ÖREBRO LÄN</t>
        </is>
      </c>
      <c r="E68" t="inlineStr">
        <is>
          <t>KARLSKOGA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16192-2020</t>
        </is>
      </c>
      <c r="B69" s="1" t="n">
        <v>43917</v>
      </c>
      <c r="C69" s="1" t="n">
        <v>45765</v>
      </c>
      <c r="D69" t="inlineStr">
        <is>
          <t>ÖREBRO LÄN</t>
        </is>
      </c>
      <c r="E69" t="inlineStr">
        <is>
          <t>KARLSKOGA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16693-2020</t>
        </is>
      </c>
      <c r="B70" s="1" t="n">
        <v>43920</v>
      </c>
      <c r="C70" s="1" t="n">
        <v>45765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18663-2020</t>
        </is>
      </c>
      <c r="B71" s="1" t="n">
        <v>43930</v>
      </c>
      <c r="C71" s="1" t="n">
        <v>45765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22354-2020</t>
        </is>
      </c>
      <c r="B72" s="1" t="n">
        <v>43957</v>
      </c>
      <c r="C72" s="1" t="n">
        <v>45765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27293-2020</t>
        </is>
      </c>
      <c r="B73" s="1" t="n">
        <v>43992</v>
      </c>
      <c r="C73" s="1" t="n">
        <v>45765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31167-2020</t>
        </is>
      </c>
      <c r="B74" s="1" t="n">
        <v>44012</v>
      </c>
      <c r="C74" s="1" t="n">
        <v>45765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31156-2020</t>
        </is>
      </c>
      <c r="B75" s="1" t="n">
        <v>44012</v>
      </c>
      <c r="C75" s="1" t="n">
        <v>45765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45765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45765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45765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45765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45765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45765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45765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45765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45765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45765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45765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45765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45765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45765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45765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45765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45765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45765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45765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45765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45765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45765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45765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45765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45765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45765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45765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45765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45765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45765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45765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45765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45765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45765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45765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45765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45765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45765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45765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45765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45765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45765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45765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45765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45765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45765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45765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45765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45765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45765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45765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45765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45765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45765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45765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45765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45765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45765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45765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45765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45765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45765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45765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45765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45765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45765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45765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45765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45765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45765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45765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45765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45765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45765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45765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45765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45765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45765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45765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45765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45765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45765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45765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45765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45765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45765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45765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45765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45765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45765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45765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45765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45765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45765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45765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45765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45765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45765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45765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45765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45765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45765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45765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45765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45765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45765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45765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45765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45765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45765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45765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45765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45765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45765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45765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45765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45765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45765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45765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45765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45765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45765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45765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45765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45765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45765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45765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45765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45765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45765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45765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45765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45765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45765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45765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45765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45765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45765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45765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45765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45765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45765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45765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45765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45765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45765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45765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45765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45765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45765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45765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45765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45765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45765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45765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45765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45765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45765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45765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45765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45765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45765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45765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45765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45765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45765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45765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45765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45765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45765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45765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45765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45765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45765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45765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45765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45765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45765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45765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45765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45765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45765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45765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45765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45765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45765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45765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45765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45765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45765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45765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45765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45765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45765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45765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45765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45765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45765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45765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45765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45765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45765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45765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45765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45765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45765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45765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45765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45765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45765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45765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45765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45765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45765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45765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45765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45765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45765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45765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45765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45765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45765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45765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45765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45765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45765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45765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45765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45765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45765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45765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45765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45765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45765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45765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45765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45765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45765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45765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45765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45765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45765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45765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45765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45765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45765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45765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45765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45765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45765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45765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45765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45765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45765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45765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45765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45765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45765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45765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45765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45765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45765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45765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45765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45765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45765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45765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45765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45765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45765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45765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45765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45765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45765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45765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45765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45765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45765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45765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45765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45765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45765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45765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45765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45765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45765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45765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45765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45765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45765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45765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45765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45765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45765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45765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45765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45765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45765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45765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45765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45765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45765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45765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45765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45765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45765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45765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45765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45765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45765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45765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45765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45765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45765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45765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45765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15269-2025</t>
        </is>
      </c>
      <c r="B392" s="1" t="n">
        <v>45744</v>
      </c>
      <c r="C392" s="1" t="n">
        <v>45765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45765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45765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45765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45765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17234-2025</t>
        </is>
      </c>
      <c r="B397" s="1" t="n">
        <v>45756</v>
      </c>
      <c r="C397" s="1" t="n">
        <v>45765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17277-2025</t>
        </is>
      </c>
      <c r="B398" s="1" t="n">
        <v>45756</v>
      </c>
      <c r="C398" s="1" t="n">
        <v>45765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17274-2025</t>
        </is>
      </c>
      <c r="B399" s="1" t="n">
        <v>45756</v>
      </c>
      <c r="C399" s="1" t="n">
        <v>45765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17248-2025</t>
        </is>
      </c>
      <c r="B400" s="1" t="n">
        <v>45756</v>
      </c>
      <c r="C400" s="1" t="n">
        <v>45765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17273-2025</t>
        </is>
      </c>
      <c r="B401" s="1" t="n">
        <v>45756</v>
      </c>
      <c r="C401" s="1" t="n">
        <v>45765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17786-2025</t>
        </is>
      </c>
      <c r="B402" s="1" t="n">
        <v>45758</v>
      </c>
      <c r="C402" s="1" t="n">
        <v>45765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17803-2025</t>
        </is>
      </c>
      <c r="B403" s="1" t="n">
        <v>45758</v>
      </c>
      <c r="C403" s="1" t="n">
        <v>45765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17782-2025</t>
        </is>
      </c>
      <c r="B404" s="1" t="n">
        <v>45758</v>
      </c>
      <c r="C404" s="1" t="n">
        <v>45765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17807-2025</t>
        </is>
      </c>
      <c r="B405" s="1" t="n">
        <v>45758</v>
      </c>
      <c r="C405" s="1" t="n">
        <v>45765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17815-2025</t>
        </is>
      </c>
      <c r="B406" s="1" t="n">
        <v>45758</v>
      </c>
      <c r="C406" s="1" t="n">
        <v>45765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18468-2025</t>
        </is>
      </c>
      <c r="B407" s="1" t="n">
        <v>45762</v>
      </c>
      <c r="C407" s="1" t="n">
        <v>45765</v>
      </c>
      <c r="D407" t="inlineStr">
        <is>
          <t>ÖREBRO LÄN</t>
        </is>
      </c>
      <c r="E407" t="inlineStr">
        <is>
          <t>KARLSKOGA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18496-2025</t>
        </is>
      </c>
      <c r="B408" s="1" t="n">
        <v>45763</v>
      </c>
      <c r="C408" s="1" t="n">
        <v>45765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18494-2025</t>
        </is>
      </c>
      <c r="B409" s="1" t="n">
        <v>45763</v>
      </c>
      <c r="C409" s="1" t="n">
        <v>45765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18495-2025</t>
        </is>
      </c>
      <c r="B410" s="1" t="n">
        <v>45763</v>
      </c>
      <c r="C410" s="1" t="n">
        <v>45765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18978-2025</t>
        </is>
      </c>
      <c r="B411" s="1" t="n">
        <v>45764</v>
      </c>
      <c r="C411" s="1" t="n">
        <v>45765</v>
      </c>
      <c r="D411" t="inlineStr">
        <is>
          <t>ÖREBRO LÄN</t>
        </is>
      </c>
      <c r="E411" t="inlineStr">
        <is>
          <t>KARLSKOGA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18766-2025</t>
        </is>
      </c>
      <c r="B412" s="1" t="n">
        <v>45764</v>
      </c>
      <c r="C412" s="1" t="n">
        <v>45765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18768-2025</t>
        </is>
      </c>
      <c r="B413" s="1" t="n">
        <v>45764</v>
      </c>
      <c r="C413" s="1" t="n">
        <v>45765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18955-2025</t>
        </is>
      </c>
      <c r="B414" s="1" t="n">
        <v>45764</v>
      </c>
      <c r="C414" s="1" t="n">
        <v>45765</v>
      </c>
      <c r="D414" t="inlineStr">
        <is>
          <t>ÖREBRO LÄN</t>
        </is>
      </c>
      <c r="E414" t="inlineStr">
        <is>
          <t>KARLSKOGA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18963-2025</t>
        </is>
      </c>
      <c r="B415" s="1" t="n">
        <v>45764</v>
      </c>
      <c r="C415" s="1" t="n">
        <v>45765</v>
      </c>
      <c r="D415" t="inlineStr">
        <is>
          <t>ÖREBRO LÄN</t>
        </is>
      </c>
      <c r="E415" t="inlineStr">
        <is>
          <t>KARLSKOGA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2025-04-18T16:42:16Z</dcterms:created>
  <dcterms:modified xmlns:dcterms="http://purl.org/dc/terms/" xmlns:xsi="http://www.w3.org/2001/XMLSchema-instance" xsi:type="dcterms:W3CDTF">2025-04-18T16:42:17Z</dcterms:modified>
</cp:coreProperties>
</file>