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45780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46597-2024</t>
        </is>
      </c>
      <c r="B10" s="1" t="n">
        <v>45582</v>
      </c>
      <c r="C10" s="1" t="n">
        <v>45780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Kattfotslav
Tjäder</t>
        </is>
      </c>
      <c r="S10">
        <f>HYPERLINK("https://klasma.github.io/Logging_1883/artfynd/A 46597-2024 artfynd.xlsx", "A 46597-2024")</f>
        <v/>
      </c>
      <c r="T10">
        <f>HYPERLINK("https://klasma.github.io/Logging_1883/kartor/A 46597-2024 karta.png", "A 46597-2024")</f>
        <v/>
      </c>
      <c r="V10">
        <f>HYPERLINK("https://klasma.github.io/Logging_1883/klagomål/A 46597-2024 FSC-klagomål.docx", "A 46597-2024")</f>
        <v/>
      </c>
      <c r="W10">
        <f>HYPERLINK("https://klasma.github.io/Logging_1883/klagomålsmail/A 46597-2024 FSC-klagomål mail.docx", "A 46597-2024")</f>
        <v/>
      </c>
      <c r="X10">
        <f>HYPERLINK("https://klasma.github.io/Logging_1883/tillsyn/A 46597-2024 tillsynsbegäran.docx", "A 46597-2024")</f>
        <v/>
      </c>
      <c r="Y10">
        <f>HYPERLINK("https://klasma.github.io/Logging_1883/tillsynsmail/A 46597-2024 tillsynsbegäran mail.docx", "A 46597-2024")</f>
        <v/>
      </c>
      <c r="Z10">
        <f>HYPERLINK("https://klasma.github.io/Logging_1883/fåglar/A 46597-2024 prioriterade fågelarter.docx", "A 46597-2024")</f>
        <v/>
      </c>
    </row>
    <row r="11" ht="15" customHeight="1">
      <c r="A11" t="inlineStr">
        <is>
          <t>A 15258-2025</t>
        </is>
      </c>
      <c r="B11" s="1" t="n">
        <v>45744</v>
      </c>
      <c r="C11" s="1" t="n">
        <v>45780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3.8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Järpe
Talltita
Tjäder</t>
        </is>
      </c>
      <c r="S11">
        <f>HYPERLINK("https://klasma.github.io/Logging_181883/artfynd/A 15258-2025 artfynd.xlsx", "A 15258-2025")</f>
        <v/>
      </c>
      <c r="T11">
        <f>HYPERLINK("https://klasma.github.io/Logging_181883/kartor/A 15258-2025 karta.png", "A 15258-2025")</f>
        <v/>
      </c>
      <c r="V11">
        <f>HYPERLINK("https://klasma.github.io/Logging_181883/klagomål/A 15258-2025 FSC-klagomål.docx", "A 15258-2025")</f>
        <v/>
      </c>
      <c r="W11">
        <f>HYPERLINK("https://klasma.github.io/Logging_181883/klagomålsmail/A 15258-2025 FSC-klagomål mail.docx", "A 15258-2025")</f>
        <v/>
      </c>
      <c r="X11">
        <f>HYPERLINK("https://klasma.github.io/Logging_181883/tillsyn/A 15258-2025 tillsynsbegäran.docx", "A 15258-2025")</f>
        <v/>
      </c>
      <c r="Y11">
        <f>HYPERLINK("https://klasma.github.io/Logging_181883/tillsynsmail/A 15258-2025 tillsynsbegäran mail.docx", "A 15258-2025")</f>
        <v/>
      </c>
      <c r="Z11">
        <f>HYPERLINK("https://klasma.github.io/Logging_181883/fåglar/A 15258-2025 prioriterade fågelarter.docx", "A 15258-2025")</f>
        <v/>
      </c>
    </row>
    <row r="12" ht="15" customHeight="1">
      <c r="A12" t="inlineStr">
        <is>
          <t>A 54421-2019</t>
        </is>
      </c>
      <c r="B12" s="1" t="n">
        <v>43754</v>
      </c>
      <c r="C12" s="1" t="n">
        <v>45780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Spillkråka</t>
        </is>
      </c>
      <c r="S12">
        <f>HYPERLINK("https://klasma.github.io/Logging_1883/artfynd/A 54421-2019 artfynd.xlsx", "A 54421-2019")</f>
        <v/>
      </c>
      <c r="T12">
        <f>HYPERLINK("https://klasma.github.io/Logging_1883/kartor/A 54421-2019 karta.png", "A 54421-2019")</f>
        <v/>
      </c>
      <c r="U12">
        <f>HYPERLINK("https://klasma.github.io/Logging_1883/knärot/A 54421-2019 karta knärot.png", "A 54421-2019")</f>
        <v/>
      </c>
      <c r="V12">
        <f>HYPERLINK("https://klasma.github.io/Logging_1883/klagomål/A 54421-2019 FSC-klagomål.docx", "A 54421-2019")</f>
        <v/>
      </c>
      <c r="W12">
        <f>HYPERLINK("https://klasma.github.io/Logging_1883/klagomålsmail/A 54421-2019 FSC-klagomål mail.docx", "A 54421-2019")</f>
        <v/>
      </c>
      <c r="X12">
        <f>HYPERLINK("https://klasma.github.io/Logging_1883/tillsyn/A 54421-2019 tillsynsbegäran.docx", "A 54421-2019")</f>
        <v/>
      </c>
      <c r="Y12">
        <f>HYPERLINK("https://klasma.github.io/Logging_1883/tillsynsmail/A 54421-2019 tillsynsbegäran mail.docx", "A 54421-2019")</f>
        <v/>
      </c>
      <c r="Z12">
        <f>HYPERLINK("https://klasma.github.io/Logging_1883/fåglar/A 54421-2019 prioriterade fågelarter.docx", "A 54421-2019")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45780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45780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18382-2019</t>
        </is>
      </c>
      <c r="B32" s="1" t="n">
        <v>43559</v>
      </c>
      <c r="C32" s="1" t="n">
        <v>45780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18461-2019</t>
        </is>
      </c>
      <c r="B33" s="1" t="n">
        <v>43559</v>
      </c>
      <c r="C33" s="1" t="n">
        <v>45780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19723-2019</t>
        </is>
      </c>
      <c r="B34" s="1" t="n">
        <v>43566</v>
      </c>
      <c r="C34" s="1" t="n">
        <v>45780</v>
      </c>
      <c r="D34" t="inlineStr">
        <is>
          <t>ÖREBRO LÄN</t>
        </is>
      </c>
      <c r="E34" t="inlineStr">
        <is>
          <t>KARLSKOGA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20547-2019</t>
        </is>
      </c>
      <c r="B35" s="1" t="n">
        <v>43572</v>
      </c>
      <c r="C35" s="1" t="n">
        <v>45780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22760-2019</t>
        </is>
      </c>
      <c r="B36" s="1" t="n">
        <v>43587</v>
      </c>
      <c r="C36" s="1" t="n">
        <v>45780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24090-2019</t>
        </is>
      </c>
      <c r="B37" s="1" t="n">
        <v>43598</v>
      </c>
      <c r="C37" s="1" t="n">
        <v>45780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25077-2019</t>
        </is>
      </c>
      <c r="B38" s="1" t="n">
        <v>43601</v>
      </c>
      <c r="C38" s="1" t="n">
        <v>45780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25084-2019</t>
        </is>
      </c>
      <c r="B39" s="1" t="n">
        <v>43601</v>
      </c>
      <c r="C39" s="1" t="n">
        <v>45780</v>
      </c>
      <c r="D39" t="inlineStr">
        <is>
          <t>ÖREBRO LÄN</t>
        </is>
      </c>
      <c r="E39" t="inlineStr">
        <is>
          <t>KARLSKOGA</t>
        </is>
      </c>
      <c r="F39" t="inlineStr">
        <is>
          <t>Övriga Aktiebolag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34518-2019</t>
        </is>
      </c>
      <c r="B40" s="1" t="n">
        <v>43647</v>
      </c>
      <c r="C40" s="1" t="n">
        <v>45780</v>
      </c>
      <c r="D40" t="inlineStr">
        <is>
          <t>ÖREBRO LÄN</t>
        </is>
      </c>
      <c r="E40" t="inlineStr">
        <is>
          <t>KARLSKOGA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34524-2019</t>
        </is>
      </c>
      <c r="B41" s="1" t="n">
        <v>43647</v>
      </c>
      <c r="C41" s="1" t="n">
        <v>45780</v>
      </c>
      <c r="D41" t="inlineStr">
        <is>
          <t>ÖREBRO LÄN</t>
        </is>
      </c>
      <c r="E41" t="inlineStr">
        <is>
          <t>KARLSKOGA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37112-2019</t>
        </is>
      </c>
      <c r="B42" s="1" t="n">
        <v>43676</v>
      </c>
      <c r="C42" s="1" t="n">
        <v>45780</v>
      </c>
      <c r="D42" t="inlineStr">
        <is>
          <t>ÖREBRO LÄN</t>
        </is>
      </c>
      <c r="E42" t="inlineStr">
        <is>
          <t>KARLSKOGA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37728-2019</t>
        </is>
      </c>
      <c r="B43" s="1" t="n">
        <v>43682</v>
      </c>
      <c r="C43" s="1" t="n">
        <v>45780</v>
      </c>
      <c r="D43" t="inlineStr">
        <is>
          <t>ÖREBRO LÄN</t>
        </is>
      </c>
      <c r="E43" t="inlineStr">
        <is>
          <t>KARLSKOGA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38669-2019</t>
        </is>
      </c>
      <c r="B44" s="1" t="n">
        <v>43686</v>
      </c>
      <c r="C44" s="1" t="n">
        <v>45780</v>
      </c>
      <c r="D44" t="inlineStr">
        <is>
          <t>ÖREBRO LÄN</t>
        </is>
      </c>
      <c r="E44" t="inlineStr">
        <is>
          <t>KARLSKOGA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39322-2019</t>
        </is>
      </c>
      <c r="B45" s="1" t="n">
        <v>43690</v>
      </c>
      <c r="C45" s="1" t="n">
        <v>45780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39468-2019</t>
        </is>
      </c>
      <c r="B46" s="1" t="n">
        <v>43691</v>
      </c>
      <c r="C46" s="1" t="n">
        <v>45780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39469-2019</t>
        </is>
      </c>
      <c r="B47" s="1" t="n">
        <v>43691</v>
      </c>
      <c r="C47" s="1" t="n">
        <v>45780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44836-2019</t>
        </is>
      </c>
      <c r="B48" s="1" t="n">
        <v>43712</v>
      </c>
      <c r="C48" s="1" t="n">
        <v>45780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54389-2019</t>
        </is>
      </c>
      <c r="B49" s="1" t="n">
        <v>43747</v>
      </c>
      <c r="C49" s="1" t="n">
        <v>45780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54398-2019</t>
        </is>
      </c>
      <c r="B50" s="1" t="n">
        <v>43754</v>
      </c>
      <c r="C50" s="1" t="n">
        <v>45780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54423-2019</t>
        </is>
      </c>
      <c r="B51" s="1" t="n">
        <v>43754</v>
      </c>
      <c r="C51" s="1" t="n">
        <v>45780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54404-2019</t>
        </is>
      </c>
      <c r="B52" s="1" t="n">
        <v>43754</v>
      </c>
      <c r="C52" s="1" t="n">
        <v>45780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54409-2019</t>
        </is>
      </c>
      <c r="B53" s="1" t="n">
        <v>43754</v>
      </c>
      <c r="C53" s="1" t="n">
        <v>45780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54711-2019</t>
        </is>
      </c>
      <c r="B54" s="1" t="n">
        <v>43755</v>
      </c>
      <c r="C54" s="1" t="n">
        <v>45780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56698-2019</t>
        </is>
      </c>
      <c r="B55" s="1" t="n">
        <v>43763</v>
      </c>
      <c r="C55" s="1" t="n">
        <v>45780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62313-2019</t>
        </is>
      </c>
      <c r="B56" s="1" t="n">
        <v>43788</v>
      </c>
      <c r="C56" s="1" t="n">
        <v>45780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62317-2019</t>
        </is>
      </c>
      <c r="B57" s="1" t="n">
        <v>43788</v>
      </c>
      <c r="C57" s="1" t="n">
        <v>45780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67800-2019</t>
        </is>
      </c>
      <c r="B58" s="1" t="n">
        <v>43815</v>
      </c>
      <c r="C58" s="1" t="n">
        <v>45780</v>
      </c>
      <c r="D58" t="inlineStr">
        <is>
          <t>ÖREBRO LÄN</t>
        </is>
      </c>
      <c r="E58" t="inlineStr">
        <is>
          <t>KARLSKOGA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2134-2020</t>
        </is>
      </c>
      <c r="B59" s="1" t="n">
        <v>43839</v>
      </c>
      <c r="C59" s="1" t="n">
        <v>45780</v>
      </c>
      <c r="D59" t="inlineStr">
        <is>
          <t>ÖREBRO LÄN</t>
        </is>
      </c>
      <c r="E59" t="inlineStr">
        <is>
          <t>KARLSKOGA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4209-2020</t>
        </is>
      </c>
      <c r="B60" s="1" t="n">
        <v>43857</v>
      </c>
      <c r="C60" s="1" t="n">
        <v>45780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6064-2020</t>
        </is>
      </c>
      <c r="B61" s="1" t="n">
        <v>43865</v>
      </c>
      <c r="C61" s="1" t="n">
        <v>45780</v>
      </c>
      <c r="D61" t="inlineStr">
        <is>
          <t>ÖREBRO LÄN</t>
        </is>
      </c>
      <c r="E61" t="inlineStr">
        <is>
          <t>KARLSKOGA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6014-2020</t>
        </is>
      </c>
      <c r="B62" s="1" t="n">
        <v>43865</v>
      </c>
      <c r="C62" s="1" t="n">
        <v>45780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6081-2020</t>
        </is>
      </c>
      <c r="B63" s="1" t="n">
        <v>43865</v>
      </c>
      <c r="C63" s="1" t="n">
        <v>45780</v>
      </c>
      <c r="D63" t="inlineStr">
        <is>
          <t>ÖREBRO LÄN</t>
        </is>
      </c>
      <c r="E63" t="inlineStr">
        <is>
          <t>KARLSKOGA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6089-2020</t>
        </is>
      </c>
      <c r="B64" s="1" t="n">
        <v>43865</v>
      </c>
      <c r="C64" s="1" t="n">
        <v>45780</v>
      </c>
      <c r="D64" t="inlineStr">
        <is>
          <t>ÖREBRO LÄN</t>
        </is>
      </c>
      <c r="E64" t="inlineStr">
        <is>
          <t>KARLSKOGA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9712-2020</t>
        </is>
      </c>
      <c r="B65" s="1" t="n">
        <v>43881</v>
      </c>
      <c r="C65" s="1" t="n">
        <v>45780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10724-2020</t>
        </is>
      </c>
      <c r="B66" s="1" t="n">
        <v>43885</v>
      </c>
      <c r="C66" s="1" t="n">
        <v>45780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15167-2020</t>
        </is>
      </c>
      <c r="B67" s="1" t="n">
        <v>43912</v>
      </c>
      <c r="C67" s="1" t="n">
        <v>45780</v>
      </c>
      <c r="D67" t="inlineStr">
        <is>
          <t>ÖREBRO LÄN</t>
        </is>
      </c>
      <c r="E67" t="inlineStr">
        <is>
          <t>KARLSKOGA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15168-2020</t>
        </is>
      </c>
      <c r="B68" s="1" t="n">
        <v>43912</v>
      </c>
      <c r="C68" s="1" t="n">
        <v>45780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15170-2020</t>
        </is>
      </c>
      <c r="B69" s="1" t="n">
        <v>43912</v>
      </c>
      <c r="C69" s="1" t="n">
        <v>45780</v>
      </c>
      <c r="D69" t="inlineStr">
        <is>
          <t>ÖREBRO LÄN</t>
        </is>
      </c>
      <c r="E69" t="inlineStr">
        <is>
          <t>KARLSKOGA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16186-2020</t>
        </is>
      </c>
      <c r="B70" s="1" t="n">
        <v>43917</v>
      </c>
      <c r="C70" s="1" t="n">
        <v>45780</v>
      </c>
      <c r="D70" t="inlineStr">
        <is>
          <t>ÖREBRO LÄN</t>
        </is>
      </c>
      <c r="E70" t="inlineStr">
        <is>
          <t>KARLSKOGA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16185-2020</t>
        </is>
      </c>
      <c r="B71" s="1" t="n">
        <v>43917</v>
      </c>
      <c r="C71" s="1" t="n">
        <v>45780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16192-2020</t>
        </is>
      </c>
      <c r="B72" s="1" t="n">
        <v>43917</v>
      </c>
      <c r="C72" s="1" t="n">
        <v>45780</v>
      </c>
      <c r="D72" t="inlineStr">
        <is>
          <t>ÖREBRO LÄN</t>
        </is>
      </c>
      <c r="E72" t="inlineStr">
        <is>
          <t>KARLSKOGA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16693-2020</t>
        </is>
      </c>
      <c r="B73" s="1" t="n">
        <v>43920</v>
      </c>
      <c r="C73" s="1" t="n">
        <v>45780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18663-2020</t>
        </is>
      </c>
      <c r="B74" s="1" t="n">
        <v>43930</v>
      </c>
      <c r="C74" s="1" t="n">
        <v>45780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22354-2020</t>
        </is>
      </c>
      <c r="B75" s="1" t="n">
        <v>43957</v>
      </c>
      <c r="C75" s="1" t="n">
        <v>45780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27293-2020</t>
        </is>
      </c>
      <c r="B76" s="1" t="n">
        <v>43992</v>
      </c>
      <c r="C76" s="1" t="n">
        <v>45780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31167-2020</t>
        </is>
      </c>
      <c r="B77" s="1" t="n">
        <v>44012</v>
      </c>
      <c r="C77" s="1" t="n">
        <v>45780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31156-2020</t>
        </is>
      </c>
      <c r="B78" s="1" t="n">
        <v>44012</v>
      </c>
      <c r="C78" s="1" t="n">
        <v>45780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45146-2020</t>
        </is>
      </c>
      <c r="B79" s="1" t="n">
        <v>44084</v>
      </c>
      <c r="C79" s="1" t="n">
        <v>45780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44799-2020</t>
        </is>
      </c>
      <c r="B80" s="1" t="n">
        <v>44085</v>
      </c>
      <c r="C80" s="1" t="n">
        <v>45780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45563-2020</t>
        </is>
      </c>
      <c r="B81" s="1" t="n">
        <v>44090</v>
      </c>
      <c r="C81" s="1" t="n">
        <v>45780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45570-2020</t>
        </is>
      </c>
      <c r="B82" s="1" t="n">
        <v>44090</v>
      </c>
      <c r="C82" s="1" t="n">
        <v>45780</v>
      </c>
      <c r="D82" t="inlineStr">
        <is>
          <t>ÖREBRO LÄN</t>
        </is>
      </c>
      <c r="E82" t="inlineStr">
        <is>
          <t>KARLSKOGA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48373-2020</t>
        </is>
      </c>
      <c r="B83" s="1" t="n">
        <v>44097</v>
      </c>
      <c r="C83" s="1" t="n">
        <v>45780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53947-2020</t>
        </is>
      </c>
      <c r="B84" s="1" t="n">
        <v>44125</v>
      </c>
      <c r="C84" s="1" t="n">
        <v>45780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53946-2020</t>
        </is>
      </c>
      <c r="B85" s="1" t="n">
        <v>44125</v>
      </c>
      <c r="C85" s="1" t="n">
        <v>45780</v>
      </c>
      <c r="D85" t="inlineStr">
        <is>
          <t>ÖREBRO LÄN</t>
        </is>
      </c>
      <c r="E85" t="inlineStr">
        <is>
          <t>KARLSKOGA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53944-2020</t>
        </is>
      </c>
      <c r="B86" s="1" t="n">
        <v>44125</v>
      </c>
      <c r="C86" s="1" t="n">
        <v>45780</v>
      </c>
      <c r="D86" t="inlineStr">
        <is>
          <t>ÖREBRO LÄN</t>
        </is>
      </c>
      <c r="E86" t="inlineStr">
        <is>
          <t>KARLSKOGA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54439-2020</t>
        </is>
      </c>
      <c r="B87" s="1" t="n">
        <v>44126</v>
      </c>
      <c r="C87" s="1" t="n">
        <v>45780</v>
      </c>
      <c r="D87" t="inlineStr">
        <is>
          <t>ÖREBRO LÄN</t>
        </is>
      </c>
      <c r="E87" t="inlineStr">
        <is>
          <t>KARLSKOGA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55279-2020</t>
        </is>
      </c>
      <c r="B88" s="1" t="n">
        <v>44130</v>
      </c>
      <c r="C88" s="1" t="n">
        <v>45780</v>
      </c>
      <c r="D88" t="inlineStr">
        <is>
          <t>ÖREBRO LÄN</t>
        </is>
      </c>
      <c r="E88" t="inlineStr">
        <is>
          <t>KARLSKOGA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57287-2020</t>
        </is>
      </c>
      <c r="B89" s="1" t="n">
        <v>44139</v>
      </c>
      <c r="C89" s="1" t="n">
        <v>45780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57283-2020</t>
        </is>
      </c>
      <c r="B90" s="1" t="n">
        <v>44139</v>
      </c>
      <c r="C90" s="1" t="n">
        <v>45780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57289-2020</t>
        </is>
      </c>
      <c r="B91" s="1" t="n">
        <v>44139</v>
      </c>
      <c r="C91" s="1" t="n">
        <v>45780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57285-2020</t>
        </is>
      </c>
      <c r="B92" s="1" t="n">
        <v>44139</v>
      </c>
      <c r="C92" s="1" t="n">
        <v>45780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57655-2020</t>
        </is>
      </c>
      <c r="B93" s="1" t="n">
        <v>44140</v>
      </c>
      <c r="C93" s="1" t="n">
        <v>45780</v>
      </c>
      <c r="D93" t="inlineStr">
        <is>
          <t>ÖREBRO LÄN</t>
        </is>
      </c>
      <c r="E93" t="inlineStr">
        <is>
          <t>KARLSKOGA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58273-2020</t>
        </is>
      </c>
      <c r="B94" s="1" t="n">
        <v>44141</v>
      </c>
      <c r="C94" s="1" t="n">
        <v>45780</v>
      </c>
      <c r="D94" t="inlineStr">
        <is>
          <t>ÖREBRO LÄN</t>
        </is>
      </c>
      <c r="E94" t="inlineStr">
        <is>
          <t>KARLSKOGA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58476-2020</t>
        </is>
      </c>
      <c r="B95" s="1" t="n">
        <v>44144</v>
      </c>
      <c r="C95" s="1" t="n">
        <v>45780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62213-2020</t>
        </is>
      </c>
      <c r="B96" s="1" t="n">
        <v>44159</v>
      </c>
      <c r="C96" s="1" t="n">
        <v>45780</v>
      </c>
      <c r="D96" t="inlineStr">
        <is>
          <t>ÖREBRO LÄN</t>
        </is>
      </c>
      <c r="E96" t="inlineStr">
        <is>
          <t>KARLSKOGA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62212-2020</t>
        </is>
      </c>
      <c r="B97" s="1" t="n">
        <v>44159</v>
      </c>
      <c r="C97" s="1" t="n">
        <v>45780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2804-2021</t>
        </is>
      </c>
      <c r="B98" s="1" t="n">
        <v>44215</v>
      </c>
      <c r="C98" s="1" t="n">
        <v>45780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5836-2021</t>
        </is>
      </c>
      <c r="B99" s="1" t="n">
        <v>44230</v>
      </c>
      <c r="C99" s="1" t="n">
        <v>45780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7989-2021</t>
        </is>
      </c>
      <c r="B100" s="1" t="n">
        <v>44243</v>
      </c>
      <c r="C100" s="1" t="n">
        <v>45780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8573-2021</t>
        </is>
      </c>
      <c r="B101" s="1" t="n">
        <v>44245</v>
      </c>
      <c r="C101" s="1" t="n">
        <v>45780</v>
      </c>
      <c r="D101" t="inlineStr">
        <is>
          <t>ÖREBRO LÄN</t>
        </is>
      </c>
      <c r="E101" t="inlineStr">
        <is>
          <t>KARLSKOGA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8590-2021</t>
        </is>
      </c>
      <c r="B102" s="1" t="n">
        <v>44245</v>
      </c>
      <c r="C102" s="1" t="n">
        <v>45780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10327-2021</t>
        </is>
      </c>
      <c r="B103" s="1" t="n">
        <v>44257</v>
      </c>
      <c r="C103" s="1" t="n">
        <v>45780</v>
      </c>
      <c r="D103" t="inlineStr">
        <is>
          <t>ÖREBRO LÄN</t>
        </is>
      </c>
      <c r="E103" t="inlineStr">
        <is>
          <t>KARLSKOGA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10492-2021</t>
        </is>
      </c>
      <c r="B104" s="1" t="n">
        <v>44258</v>
      </c>
      <c r="C104" s="1" t="n">
        <v>45780</v>
      </c>
      <c r="D104" t="inlineStr">
        <is>
          <t>ÖREBRO LÄN</t>
        </is>
      </c>
      <c r="E104" t="inlineStr">
        <is>
          <t>KARLSKOGA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11085-2021</t>
        </is>
      </c>
      <c r="B105" s="1" t="n">
        <v>44260</v>
      </c>
      <c r="C105" s="1" t="n">
        <v>45780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21035-2021</t>
        </is>
      </c>
      <c r="B106" s="1" t="n">
        <v>44319</v>
      </c>
      <c r="C106" s="1" t="n">
        <v>45780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21492-2021</t>
        </is>
      </c>
      <c r="B107" s="1" t="n">
        <v>44321</v>
      </c>
      <c r="C107" s="1" t="n">
        <v>45780</v>
      </c>
      <c r="D107" t="inlineStr">
        <is>
          <t>ÖREBRO LÄN</t>
        </is>
      </c>
      <c r="E107" t="inlineStr">
        <is>
          <t>KARLSKOGA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21682-2021</t>
        </is>
      </c>
      <c r="B108" s="1" t="n">
        <v>44322</v>
      </c>
      <c r="C108" s="1" t="n">
        <v>45780</v>
      </c>
      <c r="D108" t="inlineStr">
        <is>
          <t>ÖREBRO LÄN</t>
        </is>
      </c>
      <c r="E108" t="inlineStr">
        <is>
          <t>KARLSKOGA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21721-2021</t>
        </is>
      </c>
      <c r="B109" s="1" t="n">
        <v>44322</v>
      </c>
      <c r="C109" s="1" t="n">
        <v>45780</v>
      </c>
      <c r="D109" t="inlineStr">
        <is>
          <t>ÖREBRO LÄN</t>
        </is>
      </c>
      <c r="E109" t="inlineStr">
        <is>
          <t>KARLSKOGA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21784-2021</t>
        </is>
      </c>
      <c r="B110" s="1" t="n">
        <v>44322</v>
      </c>
      <c r="C110" s="1" t="n">
        <v>45780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22624-2021</t>
        </is>
      </c>
      <c r="B111" s="1" t="n">
        <v>44327</v>
      </c>
      <c r="C111" s="1" t="n">
        <v>45780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22621-2021</t>
        </is>
      </c>
      <c r="B112" s="1" t="n">
        <v>44327</v>
      </c>
      <c r="C112" s="1" t="n">
        <v>45780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24637-2021</t>
        </is>
      </c>
      <c r="B113" s="1" t="n">
        <v>44340</v>
      </c>
      <c r="C113" s="1" t="n">
        <v>45780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25116-2021</t>
        </is>
      </c>
      <c r="B114" s="1" t="n">
        <v>44341</v>
      </c>
      <c r="C114" s="1" t="n">
        <v>45780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25898-2021</t>
        </is>
      </c>
      <c r="B115" s="1" t="n">
        <v>44344</v>
      </c>
      <c r="C115" s="1" t="n">
        <v>45780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26196-2021</t>
        </is>
      </c>
      <c r="B116" s="1" t="n">
        <v>44347</v>
      </c>
      <c r="C116" s="1" t="n">
        <v>45780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26194-2021</t>
        </is>
      </c>
      <c r="B117" s="1" t="n">
        <v>44347</v>
      </c>
      <c r="C117" s="1" t="n">
        <v>45780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27728-2021</t>
        </is>
      </c>
      <c r="B118" s="1" t="n">
        <v>44354</v>
      </c>
      <c r="C118" s="1" t="n">
        <v>45780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27727-2021</t>
        </is>
      </c>
      <c r="B119" s="1" t="n">
        <v>44354</v>
      </c>
      <c r="C119" s="1" t="n">
        <v>45780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27735-2021</t>
        </is>
      </c>
      <c r="B120" s="1" t="n">
        <v>44354</v>
      </c>
      <c r="C120" s="1" t="n">
        <v>45780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29810-2021</t>
        </is>
      </c>
      <c r="B121" s="1" t="n">
        <v>44362</v>
      </c>
      <c r="C121" s="1" t="n">
        <v>45780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32405-2021</t>
        </is>
      </c>
      <c r="B122" s="1" t="n">
        <v>44371</v>
      </c>
      <c r="C122" s="1" t="n">
        <v>45780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32425-2021</t>
        </is>
      </c>
      <c r="B123" s="1" t="n">
        <v>44371</v>
      </c>
      <c r="C123" s="1" t="n">
        <v>45780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32408-2021</t>
        </is>
      </c>
      <c r="B124" s="1" t="n">
        <v>44371</v>
      </c>
      <c r="C124" s="1" t="n">
        <v>45780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32410-2021</t>
        </is>
      </c>
      <c r="B125" s="1" t="n">
        <v>44371</v>
      </c>
      <c r="C125" s="1" t="n">
        <v>45780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34457-2021</t>
        </is>
      </c>
      <c r="B126" s="1" t="n">
        <v>44381</v>
      </c>
      <c r="C126" s="1" t="n">
        <v>45780</v>
      </c>
      <c r="D126" t="inlineStr">
        <is>
          <t>ÖREBRO LÄN</t>
        </is>
      </c>
      <c r="E126" t="inlineStr">
        <is>
          <t>KARLSKOGA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34460-2021</t>
        </is>
      </c>
      <c r="B127" s="1" t="n">
        <v>44381</v>
      </c>
      <c r="C127" s="1" t="n">
        <v>45780</v>
      </c>
      <c r="D127" t="inlineStr">
        <is>
          <t>ÖREBRO LÄN</t>
        </is>
      </c>
      <c r="E127" t="inlineStr">
        <is>
          <t>KARLSKOGA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34585-2021</t>
        </is>
      </c>
      <c r="B128" s="1" t="n">
        <v>44382</v>
      </c>
      <c r="C128" s="1" t="n">
        <v>45780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41026-2021</t>
        </is>
      </c>
      <c r="B129" s="1" t="n">
        <v>44421</v>
      </c>
      <c r="C129" s="1" t="n">
        <v>45780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41777-2021</t>
        </is>
      </c>
      <c r="B130" s="1" t="n">
        <v>44425</v>
      </c>
      <c r="C130" s="1" t="n">
        <v>45780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41779-2021</t>
        </is>
      </c>
      <c r="B131" s="1" t="n">
        <v>44425</v>
      </c>
      <c r="C131" s="1" t="n">
        <v>45780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41775-2021</t>
        </is>
      </c>
      <c r="B132" s="1" t="n">
        <v>44425</v>
      </c>
      <c r="C132" s="1" t="n">
        <v>45780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44723-2021</t>
        </is>
      </c>
      <c r="B133" s="1" t="n">
        <v>44438</v>
      </c>
      <c r="C133" s="1" t="n">
        <v>45780</v>
      </c>
      <c r="D133" t="inlineStr">
        <is>
          <t>ÖREBRO LÄN</t>
        </is>
      </c>
      <c r="E133" t="inlineStr">
        <is>
          <t>KARLSKOGA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45117-2021</t>
        </is>
      </c>
      <c r="B134" s="1" t="n">
        <v>44439</v>
      </c>
      <c r="C134" s="1" t="n">
        <v>45780</v>
      </c>
      <c r="D134" t="inlineStr">
        <is>
          <t>ÖREBRO LÄN</t>
        </is>
      </c>
      <c r="E134" t="inlineStr">
        <is>
          <t>KARLSKOGA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46605-2021</t>
        </is>
      </c>
      <c r="B135" s="1" t="n">
        <v>44445</v>
      </c>
      <c r="C135" s="1" t="n">
        <v>45780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47669-2021</t>
        </is>
      </c>
      <c r="B136" s="1" t="n">
        <v>44448</v>
      </c>
      <c r="C136" s="1" t="n">
        <v>45780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48716-2021</t>
        </is>
      </c>
      <c r="B137" s="1" t="n">
        <v>44452</v>
      </c>
      <c r="C137" s="1" t="n">
        <v>45780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48710-2021</t>
        </is>
      </c>
      <c r="B138" s="1" t="n">
        <v>44452</v>
      </c>
      <c r="C138" s="1" t="n">
        <v>45780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48724-2021</t>
        </is>
      </c>
      <c r="B139" s="1" t="n">
        <v>44452</v>
      </c>
      <c r="C139" s="1" t="n">
        <v>45780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48720-2021</t>
        </is>
      </c>
      <c r="B140" s="1" t="n">
        <v>44452</v>
      </c>
      <c r="C140" s="1" t="n">
        <v>45780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49363-2021</t>
        </is>
      </c>
      <c r="B141" s="1" t="n">
        <v>44453</v>
      </c>
      <c r="C141" s="1" t="n">
        <v>45780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49998-2021</t>
        </is>
      </c>
      <c r="B142" s="1" t="n">
        <v>44453</v>
      </c>
      <c r="C142" s="1" t="n">
        <v>45780</v>
      </c>
      <c r="D142" t="inlineStr">
        <is>
          <t>ÖREBRO LÄN</t>
        </is>
      </c>
      <c r="E142" t="inlineStr">
        <is>
          <t>KARLSKOGA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50991-2021</t>
        </is>
      </c>
      <c r="B143" s="1" t="n">
        <v>44460</v>
      </c>
      <c r="C143" s="1" t="n">
        <v>45780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52804-2021</t>
        </is>
      </c>
      <c r="B144" s="1" t="n">
        <v>44467</v>
      </c>
      <c r="C144" s="1" t="n">
        <v>45780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</v>
      </c>
      <c r="C145" s="1" t="n">
        <v>45780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52807-2021</t>
        </is>
      </c>
      <c r="B146" s="1" t="n">
        <v>44467</v>
      </c>
      <c r="C146" s="1" t="n">
        <v>45780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45780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56435-2021</t>
        </is>
      </c>
      <c r="B148" s="1" t="n">
        <v>44480</v>
      </c>
      <c r="C148" s="1" t="n">
        <v>45780</v>
      </c>
      <c r="D148" t="inlineStr">
        <is>
          <t>ÖREBRO LÄN</t>
        </is>
      </c>
      <c r="E148" t="inlineStr">
        <is>
          <t>KARLSKOGA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45780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63671-2021</t>
        </is>
      </c>
      <c r="B150" s="1" t="n">
        <v>44508</v>
      </c>
      <c r="C150" s="1" t="n">
        <v>45780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64133-2021</t>
        </is>
      </c>
      <c r="B151" s="1" t="n">
        <v>44510</v>
      </c>
      <c r="C151" s="1" t="n">
        <v>45780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64089-2021</t>
        </is>
      </c>
      <c r="B152" s="1" t="n">
        <v>44510</v>
      </c>
      <c r="C152" s="1" t="n">
        <v>45780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64275-2021</t>
        </is>
      </c>
      <c r="B153" s="1" t="n">
        <v>44510</v>
      </c>
      <c r="C153" s="1" t="n">
        <v>45780</v>
      </c>
      <c r="D153" t="inlineStr">
        <is>
          <t>ÖREBRO LÄN</t>
        </is>
      </c>
      <c r="E153" t="inlineStr">
        <is>
          <t>KARLSKOGA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64869-2021</t>
        </is>
      </c>
      <c r="B154" s="1" t="n">
        <v>44512</v>
      </c>
      <c r="C154" s="1" t="n">
        <v>45780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70206-2021</t>
        </is>
      </c>
      <c r="B155" s="1" t="n">
        <v>44535</v>
      </c>
      <c r="C155" s="1" t="n">
        <v>45780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71405-2021</t>
        </is>
      </c>
      <c r="B156" s="1" t="n">
        <v>44540</v>
      </c>
      <c r="C156" s="1" t="n">
        <v>45780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72803-2021</t>
        </is>
      </c>
      <c r="B157" s="1" t="n">
        <v>44546</v>
      </c>
      <c r="C157" s="1" t="n">
        <v>45780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73701-2021</t>
        </is>
      </c>
      <c r="B158" s="1" t="n">
        <v>44552</v>
      </c>
      <c r="C158" s="1" t="n">
        <v>45780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3537-2022</t>
        </is>
      </c>
      <c r="B159" s="1" t="n">
        <v>44585</v>
      </c>
      <c r="C159" s="1" t="n">
        <v>45780</v>
      </c>
      <c r="D159" t="inlineStr">
        <is>
          <t>ÖREBRO LÄN</t>
        </is>
      </c>
      <c r="E159" t="inlineStr">
        <is>
          <t>KARLSKOGA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45780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4058-2022</t>
        </is>
      </c>
      <c r="B161" s="1" t="n">
        <v>44588</v>
      </c>
      <c r="C161" s="1" t="n">
        <v>45780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4537-2022</t>
        </is>
      </c>
      <c r="B162" s="1" t="n">
        <v>44590</v>
      </c>
      <c r="C162" s="1" t="n">
        <v>45780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5339-2022</t>
        </is>
      </c>
      <c r="B163" s="1" t="n">
        <v>44594</v>
      </c>
      <c r="C163" s="1" t="n">
        <v>45780</v>
      </c>
      <c r="D163" t="inlineStr">
        <is>
          <t>ÖREBRO LÄN</t>
        </is>
      </c>
      <c r="E163" t="inlineStr">
        <is>
          <t>KARLSKOGA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10404-2022</t>
        </is>
      </c>
      <c r="B164" s="1" t="n">
        <v>44623</v>
      </c>
      <c r="C164" s="1" t="n">
        <v>45780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11081-2022</t>
        </is>
      </c>
      <c r="B165" s="1" t="n">
        <v>44628</v>
      </c>
      <c r="C165" s="1" t="n">
        <v>45780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13454-2022</t>
        </is>
      </c>
      <c r="B166" s="1" t="n">
        <v>44645</v>
      </c>
      <c r="C166" s="1" t="n">
        <v>45780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21612-2022</t>
        </is>
      </c>
      <c r="B167" s="1" t="n">
        <v>44706</v>
      </c>
      <c r="C167" s="1" t="n">
        <v>45780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21622-2022</t>
        </is>
      </c>
      <c r="B168" s="1" t="n">
        <v>44706</v>
      </c>
      <c r="C168" s="1" t="n">
        <v>45780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22861-2022</t>
        </is>
      </c>
      <c r="B169" s="1" t="n">
        <v>44715</v>
      </c>
      <c r="C169" s="1" t="n">
        <v>45780</v>
      </c>
      <c r="D169" t="inlineStr">
        <is>
          <t>ÖREBRO LÄN</t>
        </is>
      </c>
      <c r="E169" t="inlineStr">
        <is>
          <t>KARLSKOGA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22867-2022</t>
        </is>
      </c>
      <c r="B170" s="1" t="n">
        <v>44715</v>
      </c>
      <c r="C170" s="1" t="n">
        <v>45780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23263-2022</t>
        </is>
      </c>
      <c r="B171" s="1" t="n">
        <v>44720</v>
      </c>
      <c r="C171" s="1" t="n">
        <v>45780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25548-2022</t>
        </is>
      </c>
      <c r="B172" s="1" t="n">
        <v>44732</v>
      </c>
      <c r="C172" s="1" t="n">
        <v>45780</v>
      </c>
      <c r="D172" t="inlineStr">
        <is>
          <t>ÖREBRO LÄN</t>
        </is>
      </c>
      <c r="E172" t="inlineStr">
        <is>
          <t>KARLSKOGA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29264-2022</t>
        </is>
      </c>
      <c r="B173" s="1" t="n">
        <v>44750</v>
      </c>
      <c r="C173" s="1" t="n">
        <v>45780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29268-2022</t>
        </is>
      </c>
      <c r="B174" s="1" t="n">
        <v>44750</v>
      </c>
      <c r="C174" s="1" t="n">
        <v>45780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30961-2022</t>
        </is>
      </c>
      <c r="B175" s="1" t="n">
        <v>44768</v>
      </c>
      <c r="C175" s="1" t="n">
        <v>45780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31698-2022</t>
        </is>
      </c>
      <c r="B176" s="1" t="n">
        <v>44776</v>
      </c>
      <c r="C176" s="1" t="n">
        <v>45780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31921-2022</t>
        </is>
      </c>
      <c r="B177" s="1" t="n">
        <v>44777</v>
      </c>
      <c r="C177" s="1" t="n">
        <v>45780</v>
      </c>
      <c r="D177" t="inlineStr">
        <is>
          <t>ÖREBRO LÄN</t>
        </is>
      </c>
      <c r="E177" t="inlineStr">
        <is>
          <t>KARLSKOGA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37584-2022</t>
        </is>
      </c>
      <c r="B178" s="1" t="n">
        <v>44809</v>
      </c>
      <c r="C178" s="1" t="n">
        <v>45780</v>
      </c>
      <c r="D178" t="inlineStr">
        <is>
          <t>ÖREBRO LÄN</t>
        </is>
      </c>
      <c r="E178" t="inlineStr">
        <is>
          <t>KARLSKOGA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37582-2022</t>
        </is>
      </c>
      <c r="B179" s="1" t="n">
        <v>44809</v>
      </c>
      <c r="C179" s="1" t="n">
        <v>45780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38012-2022</t>
        </is>
      </c>
      <c r="B180" s="1" t="n">
        <v>44811</v>
      </c>
      <c r="C180" s="1" t="n">
        <v>45780</v>
      </c>
      <c r="D180" t="inlineStr">
        <is>
          <t>ÖREBRO LÄN</t>
        </is>
      </c>
      <c r="E180" t="inlineStr">
        <is>
          <t>KARLSKOGA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38301-2022</t>
        </is>
      </c>
      <c r="B181" s="1" t="n">
        <v>44812</v>
      </c>
      <c r="C181" s="1" t="n">
        <v>45780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45780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45780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45780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45780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45780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45780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45780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45780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45780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45780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45780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45780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45780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45780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45780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45780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45780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45780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45780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45780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45780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45780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45780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45780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45780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45780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45780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45780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45780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45780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45780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45780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45780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45780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45780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45780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45780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45780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45780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45780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45780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45780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45780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45780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45780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45780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45780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45780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45780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45780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45780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45780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45780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45780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45780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45780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45780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45780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45780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45780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45780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45780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45780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45780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45780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45780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45780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45780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45780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45780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45780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45780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45780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45780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45780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45780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45780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45780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45780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45780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45780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45780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45780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45780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45780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45780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45780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45780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45780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45780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45780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45780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45780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45780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45780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45780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2363-2024</t>
        </is>
      </c>
      <c r="B278" s="1" t="n">
        <v>45310</v>
      </c>
      <c r="C278" s="1" t="n">
        <v>45780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2376-2024</t>
        </is>
      </c>
      <c r="B279" s="1" t="n">
        <v>45310</v>
      </c>
      <c r="C279" s="1" t="n">
        <v>45780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45780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45780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45780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45780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45780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45780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45780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45780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9180-2024</t>
        </is>
      </c>
      <c r="B288" s="1" t="n">
        <v>45358</v>
      </c>
      <c r="C288" s="1" t="n">
        <v>45780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9712-2024</t>
        </is>
      </c>
      <c r="B289" s="1" t="n">
        <v>45362</v>
      </c>
      <c r="C289" s="1" t="n">
        <v>45780</v>
      </c>
      <c r="D289" t="inlineStr">
        <is>
          <t>ÖREBRO LÄN</t>
        </is>
      </c>
      <c r="E289" t="inlineStr">
        <is>
          <t>KARLSKOGA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10648-2024</t>
        </is>
      </c>
      <c r="B290" s="1" t="n">
        <v>45368</v>
      </c>
      <c r="C290" s="1" t="n">
        <v>45780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14215-2024</t>
        </is>
      </c>
      <c r="B291" s="1" t="n">
        <v>45393</v>
      </c>
      <c r="C291" s="1" t="n">
        <v>45780</v>
      </c>
      <c r="D291" t="inlineStr">
        <is>
          <t>ÖREBRO LÄN</t>
        </is>
      </c>
      <c r="E291" t="inlineStr">
        <is>
          <t>KARLSKOGA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14202-2024</t>
        </is>
      </c>
      <c r="B292" s="1" t="n">
        <v>45393</v>
      </c>
      <c r="C292" s="1" t="n">
        <v>45780</v>
      </c>
      <c r="D292" t="inlineStr">
        <is>
          <t>ÖREBRO LÄN</t>
        </is>
      </c>
      <c r="E292" t="inlineStr">
        <is>
          <t>KARLSKOGA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16543-2024</t>
        </is>
      </c>
      <c r="B293" s="1" t="n">
        <v>45408</v>
      </c>
      <c r="C293" s="1" t="n">
        <v>45780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17243-2024</t>
        </is>
      </c>
      <c r="B294" s="1" t="n">
        <v>45414</v>
      </c>
      <c r="C294" s="1" t="n">
        <v>45780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18506-2024</t>
        </is>
      </c>
      <c r="B295" s="1" t="n">
        <v>45425</v>
      </c>
      <c r="C295" s="1" t="n">
        <v>45780</v>
      </c>
      <c r="D295" t="inlineStr">
        <is>
          <t>ÖREBRO LÄN</t>
        </is>
      </c>
      <c r="E295" t="inlineStr">
        <is>
          <t>KARLSKOGA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19016-2024</t>
        </is>
      </c>
      <c r="B296" s="1" t="n">
        <v>45427</v>
      </c>
      <c r="C296" s="1" t="n">
        <v>45780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19012-2024</t>
        </is>
      </c>
      <c r="B297" s="1" t="n">
        <v>45427</v>
      </c>
      <c r="C297" s="1" t="n">
        <v>45780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19013-2024</t>
        </is>
      </c>
      <c r="B298" s="1" t="n">
        <v>45427</v>
      </c>
      <c r="C298" s="1" t="n">
        <v>45780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20079-2024</t>
        </is>
      </c>
      <c r="B299" s="1" t="n">
        <v>45434</v>
      </c>
      <c r="C299" s="1" t="n">
        <v>45780</v>
      </c>
      <c r="D299" t="inlineStr">
        <is>
          <t>ÖREBRO LÄN</t>
        </is>
      </c>
      <c r="E299" t="inlineStr">
        <is>
          <t>KARLSKOGA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20108-2024</t>
        </is>
      </c>
      <c r="B300" s="1" t="n">
        <v>45434</v>
      </c>
      <c r="C300" s="1" t="n">
        <v>45780</v>
      </c>
      <c r="D300" t="inlineStr">
        <is>
          <t>ÖREBRO LÄN</t>
        </is>
      </c>
      <c r="E300" t="inlineStr">
        <is>
          <t>KARLSKOGA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20086-2024</t>
        </is>
      </c>
      <c r="B301" s="1" t="n">
        <v>45434</v>
      </c>
      <c r="C301" s="1" t="n">
        <v>45780</v>
      </c>
      <c r="D301" t="inlineStr">
        <is>
          <t>ÖREBRO LÄN</t>
        </is>
      </c>
      <c r="E301" t="inlineStr">
        <is>
          <t>KARLSKOGA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20299-2024</t>
        </is>
      </c>
      <c r="B302" s="1" t="n">
        <v>45435</v>
      </c>
      <c r="C302" s="1" t="n">
        <v>45780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20307-2024</t>
        </is>
      </c>
      <c r="B303" s="1" t="n">
        <v>45435</v>
      </c>
      <c r="C303" s="1" t="n">
        <v>45780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20289-2024</t>
        </is>
      </c>
      <c r="B304" s="1" t="n">
        <v>45435</v>
      </c>
      <c r="C304" s="1" t="n">
        <v>45780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20302-2024</t>
        </is>
      </c>
      <c r="B305" s="1" t="n">
        <v>45435</v>
      </c>
      <c r="C305" s="1" t="n">
        <v>45780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20305-2024</t>
        </is>
      </c>
      <c r="B306" s="1" t="n">
        <v>45435</v>
      </c>
      <c r="C306" s="1" t="n">
        <v>45780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20300-2024</t>
        </is>
      </c>
      <c r="B307" s="1" t="n">
        <v>45435</v>
      </c>
      <c r="C307" s="1" t="n">
        <v>45780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20304-2024</t>
        </is>
      </c>
      <c r="B308" s="1" t="n">
        <v>45435</v>
      </c>
      <c r="C308" s="1" t="n">
        <v>45780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20308-2024</t>
        </is>
      </c>
      <c r="B309" s="1" t="n">
        <v>45435</v>
      </c>
      <c r="C309" s="1" t="n">
        <v>45780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20708-2024</t>
        </is>
      </c>
      <c r="B310" s="1" t="n">
        <v>45436</v>
      </c>
      <c r="C310" s="1" t="n">
        <v>45780</v>
      </c>
      <c r="D310" t="inlineStr">
        <is>
          <t>ÖREBRO LÄN</t>
        </is>
      </c>
      <c r="E310" t="inlineStr">
        <is>
          <t>KARLSKOGA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21510-2024</t>
        </is>
      </c>
      <c r="B311" s="1" t="n">
        <v>45441</v>
      </c>
      <c r="C311" s="1" t="n">
        <v>45780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22639-2024</t>
        </is>
      </c>
      <c r="B312" s="1" t="n">
        <v>45447</v>
      </c>
      <c r="C312" s="1" t="n">
        <v>45780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22749-2024</t>
        </is>
      </c>
      <c r="B313" s="1" t="n">
        <v>45448</v>
      </c>
      <c r="C313" s="1" t="n">
        <v>45780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23400-2024</t>
        </is>
      </c>
      <c r="B314" s="1" t="n">
        <v>45453</v>
      </c>
      <c r="C314" s="1" t="n">
        <v>45780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23620-2024</t>
        </is>
      </c>
      <c r="B315" s="1" t="n">
        <v>45454</v>
      </c>
      <c r="C315" s="1" t="n">
        <v>45780</v>
      </c>
      <c r="D315" t="inlineStr">
        <is>
          <t>ÖREBRO LÄN</t>
        </is>
      </c>
      <c r="E315" t="inlineStr">
        <is>
          <t>KARLSKOGA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24255-2024</t>
        </is>
      </c>
      <c r="B316" s="1" t="n">
        <v>45457</v>
      </c>
      <c r="C316" s="1" t="n">
        <v>45780</v>
      </c>
      <c r="D316" t="inlineStr">
        <is>
          <t>ÖREBRO LÄN</t>
        </is>
      </c>
      <c r="E316" t="inlineStr">
        <is>
          <t>KARLSKOGA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24688-2024</t>
        </is>
      </c>
      <c r="B317" s="1" t="n">
        <v>45460</v>
      </c>
      <c r="C317" s="1" t="n">
        <v>45780</v>
      </c>
      <c r="D317" t="inlineStr">
        <is>
          <t>ÖREBRO LÄN</t>
        </is>
      </c>
      <c r="E317" t="inlineStr">
        <is>
          <t>KARLSKOGA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28100-2024</t>
        </is>
      </c>
      <c r="B318" s="1" t="n">
        <v>45476</v>
      </c>
      <c r="C318" s="1" t="n">
        <v>45780</v>
      </c>
      <c r="D318" t="inlineStr">
        <is>
          <t>ÖREBRO LÄN</t>
        </is>
      </c>
      <c r="E318" t="inlineStr">
        <is>
          <t>KARLSKOGA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28566-2024</t>
        </is>
      </c>
      <c r="B319" s="1" t="n">
        <v>45478</v>
      </c>
      <c r="C319" s="1" t="n">
        <v>45780</v>
      </c>
      <c r="D319" t="inlineStr">
        <is>
          <t>ÖREBRO LÄN</t>
        </is>
      </c>
      <c r="E319" t="inlineStr">
        <is>
          <t>KARLSKOGA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32078-2024</t>
        </is>
      </c>
      <c r="B320" s="1" t="n">
        <v>45511</v>
      </c>
      <c r="C320" s="1" t="n">
        <v>45780</v>
      </c>
      <c r="D320" t="inlineStr">
        <is>
          <t>ÖREBRO LÄN</t>
        </is>
      </c>
      <c r="E320" t="inlineStr">
        <is>
          <t>KARLSKOGA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33678-2024</t>
        </is>
      </c>
      <c r="B321" s="1" t="n">
        <v>45520</v>
      </c>
      <c r="C321" s="1" t="n">
        <v>45780</v>
      </c>
      <c r="D321" t="inlineStr">
        <is>
          <t>ÖREBRO LÄN</t>
        </is>
      </c>
      <c r="E321" t="inlineStr">
        <is>
          <t>KARLSKOGA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34337-2024</t>
        </is>
      </c>
      <c r="B322" s="1" t="n">
        <v>45524</v>
      </c>
      <c r="C322" s="1" t="n">
        <v>45780</v>
      </c>
      <c r="D322" t="inlineStr">
        <is>
          <t>ÖREBRO LÄN</t>
        </is>
      </c>
      <c r="E322" t="inlineStr">
        <is>
          <t>KARLSKOGA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34409-2024</t>
        </is>
      </c>
      <c r="B323" s="1" t="n">
        <v>45525</v>
      </c>
      <c r="C323" s="1" t="n">
        <v>45780</v>
      </c>
      <c r="D323" t="inlineStr">
        <is>
          <t>ÖREBRO LÄN</t>
        </is>
      </c>
      <c r="E323" t="inlineStr">
        <is>
          <t>KARLSKOGA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34728-2024</t>
        </is>
      </c>
      <c r="B324" s="1" t="n">
        <v>45526</v>
      </c>
      <c r="C324" s="1" t="n">
        <v>45780</v>
      </c>
      <c r="D324" t="inlineStr">
        <is>
          <t>ÖREBRO LÄN</t>
        </is>
      </c>
      <c r="E324" t="inlineStr">
        <is>
          <t>KARLSKOGA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35060-2024</t>
        </is>
      </c>
      <c r="B325" s="1" t="n">
        <v>45527</v>
      </c>
      <c r="C325" s="1" t="n">
        <v>45780</v>
      </c>
      <c r="D325" t="inlineStr">
        <is>
          <t>ÖREBRO LÄN</t>
        </is>
      </c>
      <c r="E325" t="inlineStr">
        <is>
          <t>KARLSKOGA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35470-2024</t>
        </is>
      </c>
      <c r="B326" s="1" t="n">
        <v>45531</v>
      </c>
      <c r="C326" s="1" t="n">
        <v>45780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35445-2024</t>
        </is>
      </c>
      <c r="B327" s="1" t="n">
        <v>45531</v>
      </c>
      <c r="C327" s="1" t="n">
        <v>45780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35444-2024</t>
        </is>
      </c>
      <c r="B328" s="1" t="n">
        <v>45531</v>
      </c>
      <c r="C328" s="1" t="n">
        <v>45780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35471-2024</t>
        </is>
      </c>
      <c r="B329" s="1" t="n">
        <v>45531</v>
      </c>
      <c r="C329" s="1" t="n">
        <v>45780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37075-2024</t>
        </is>
      </c>
      <c r="B330" s="1" t="n">
        <v>45539</v>
      </c>
      <c r="C330" s="1" t="n">
        <v>45780</v>
      </c>
      <c r="D330" t="inlineStr">
        <is>
          <t>ÖREBRO LÄN</t>
        </is>
      </c>
      <c r="E330" t="inlineStr">
        <is>
          <t>KARLSKOGA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38196-2024</t>
        </is>
      </c>
      <c r="B331" s="1" t="n">
        <v>45545</v>
      </c>
      <c r="C331" s="1" t="n">
        <v>45780</v>
      </c>
      <c r="D331" t="inlineStr">
        <is>
          <t>ÖREBRO LÄN</t>
        </is>
      </c>
      <c r="E331" t="inlineStr">
        <is>
          <t>KARLSKOGA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38190-2024</t>
        </is>
      </c>
      <c r="B332" s="1" t="n">
        <v>45545</v>
      </c>
      <c r="C332" s="1" t="n">
        <v>45780</v>
      </c>
      <c r="D332" t="inlineStr">
        <is>
          <t>ÖREBRO LÄN</t>
        </is>
      </c>
      <c r="E332" t="inlineStr">
        <is>
          <t>KARLSKOGA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39936-2024</t>
        </is>
      </c>
      <c r="B333" s="1" t="n">
        <v>45553</v>
      </c>
      <c r="C333" s="1" t="n">
        <v>45780</v>
      </c>
      <c r="D333" t="inlineStr">
        <is>
          <t>ÖREBRO LÄN</t>
        </is>
      </c>
      <c r="E333" t="inlineStr">
        <is>
          <t>KARLSKOGA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40528-2024</t>
        </is>
      </c>
      <c r="B334" s="1" t="n">
        <v>45555</v>
      </c>
      <c r="C334" s="1" t="n">
        <v>45780</v>
      </c>
      <c r="D334" t="inlineStr">
        <is>
          <t>ÖREBRO LÄN</t>
        </is>
      </c>
      <c r="E334" t="inlineStr">
        <is>
          <t>KARLSKOGA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40455-2024</t>
        </is>
      </c>
      <c r="B335" s="1" t="n">
        <v>45555</v>
      </c>
      <c r="C335" s="1" t="n">
        <v>45780</v>
      </c>
      <c r="D335" t="inlineStr">
        <is>
          <t>ÖREBRO LÄN</t>
        </is>
      </c>
      <c r="E335" t="inlineStr">
        <is>
          <t>KARLSKOGA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44718-2024</t>
        </is>
      </c>
      <c r="B336" s="1" t="n">
        <v>45574</v>
      </c>
      <c r="C336" s="1" t="n">
        <v>45780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46596-2024</t>
        </is>
      </c>
      <c r="B337" s="1" t="n">
        <v>45582</v>
      </c>
      <c r="C337" s="1" t="n">
        <v>45780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46461-2024</t>
        </is>
      </c>
      <c r="B338" s="1" t="n">
        <v>45582</v>
      </c>
      <c r="C338" s="1" t="n">
        <v>45780</v>
      </c>
      <c r="D338" t="inlineStr">
        <is>
          <t>ÖREBRO LÄN</t>
        </is>
      </c>
      <c r="E338" t="inlineStr">
        <is>
          <t>KARLSKOGA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47221-2024</t>
        </is>
      </c>
      <c r="B339" s="1" t="n">
        <v>45586</v>
      </c>
      <c r="C339" s="1" t="n">
        <v>45780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47222-2024</t>
        </is>
      </c>
      <c r="B340" s="1" t="n">
        <v>45586</v>
      </c>
      <c r="C340" s="1" t="n">
        <v>45780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48167-2024</t>
        </is>
      </c>
      <c r="B341" s="1" t="n">
        <v>45589</v>
      </c>
      <c r="C341" s="1" t="n">
        <v>45780</v>
      </c>
      <c r="D341" t="inlineStr">
        <is>
          <t>ÖREBRO LÄN</t>
        </is>
      </c>
      <c r="E341" t="inlineStr">
        <is>
          <t>KARLSKOGA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48168-2024</t>
        </is>
      </c>
      <c r="B342" s="1" t="n">
        <v>45589</v>
      </c>
      <c r="C342" s="1" t="n">
        <v>45780</v>
      </c>
      <c r="D342" t="inlineStr">
        <is>
          <t>ÖREBRO LÄN</t>
        </is>
      </c>
      <c r="E342" t="inlineStr">
        <is>
          <t>KARLSKOGA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48707-2024</t>
        </is>
      </c>
      <c r="B343" s="1" t="n">
        <v>45593</v>
      </c>
      <c r="C343" s="1" t="n">
        <v>45780</v>
      </c>
      <c r="D343" t="inlineStr">
        <is>
          <t>ÖREBRO LÄN</t>
        </is>
      </c>
      <c r="E343" t="inlineStr">
        <is>
          <t>KARLSKOGA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50614-2024</t>
        </is>
      </c>
      <c r="B344" s="1" t="n">
        <v>45601</v>
      </c>
      <c r="C344" s="1" t="n">
        <v>45780</v>
      </c>
      <c r="D344" t="inlineStr">
        <is>
          <t>ÖREBRO LÄN</t>
        </is>
      </c>
      <c r="E344" t="inlineStr">
        <is>
          <t>KARLSKOGA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50611-2024</t>
        </is>
      </c>
      <c r="B345" s="1" t="n">
        <v>45601</v>
      </c>
      <c r="C345" s="1" t="n">
        <v>45780</v>
      </c>
      <c r="D345" t="inlineStr">
        <is>
          <t>ÖREBRO LÄN</t>
        </is>
      </c>
      <c r="E345" t="inlineStr">
        <is>
          <t>KARLSKOGA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50863-2024</t>
        </is>
      </c>
      <c r="B346" s="1" t="n">
        <v>45602</v>
      </c>
      <c r="C346" s="1" t="n">
        <v>45780</v>
      </c>
      <c r="D346" t="inlineStr">
        <is>
          <t>ÖREBRO LÄN</t>
        </is>
      </c>
      <c r="E346" t="inlineStr">
        <is>
          <t>KARLSKOGA</t>
        </is>
      </c>
      <c r="F346" t="inlineStr">
        <is>
          <t>Kyrkan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50982-2024</t>
        </is>
      </c>
      <c r="B347" s="1" t="n">
        <v>45603</v>
      </c>
      <c r="C347" s="1" t="n">
        <v>45780</v>
      </c>
      <c r="D347" t="inlineStr">
        <is>
          <t>ÖREBRO LÄN</t>
        </is>
      </c>
      <c r="E347" t="inlineStr">
        <is>
          <t>KARLSKOGA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52453-2024</t>
        </is>
      </c>
      <c r="B348" s="1" t="n">
        <v>45609</v>
      </c>
      <c r="C348" s="1" t="n">
        <v>45780</v>
      </c>
      <c r="D348" t="inlineStr">
        <is>
          <t>ÖREBRO LÄN</t>
        </is>
      </c>
      <c r="E348" t="inlineStr">
        <is>
          <t>KARLSKOGA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52576-2024</t>
        </is>
      </c>
      <c r="B349" s="1" t="n">
        <v>45609</v>
      </c>
      <c r="C349" s="1" t="n">
        <v>45780</v>
      </c>
      <c r="D349" t="inlineStr">
        <is>
          <t>ÖREBRO LÄN</t>
        </is>
      </c>
      <c r="E349" t="inlineStr">
        <is>
          <t>KARLSKOGA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52829-2024</t>
        </is>
      </c>
      <c r="B350" s="1" t="n">
        <v>45610</v>
      </c>
      <c r="C350" s="1" t="n">
        <v>45780</v>
      </c>
      <c r="D350" t="inlineStr">
        <is>
          <t>ÖREBRO LÄN</t>
        </is>
      </c>
      <c r="E350" t="inlineStr">
        <is>
          <t>KARLSKOGA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52853-2024</t>
        </is>
      </c>
      <c r="B351" s="1" t="n">
        <v>45610</v>
      </c>
      <c r="C351" s="1" t="n">
        <v>45780</v>
      </c>
      <c r="D351" t="inlineStr">
        <is>
          <t>ÖREBRO LÄN</t>
        </is>
      </c>
      <c r="E351" t="inlineStr">
        <is>
          <t>KARLSKOGA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52828-2024</t>
        </is>
      </c>
      <c r="B352" s="1" t="n">
        <v>45610</v>
      </c>
      <c r="C352" s="1" t="n">
        <v>45780</v>
      </c>
      <c r="D352" t="inlineStr">
        <is>
          <t>ÖREBRO LÄN</t>
        </is>
      </c>
      <c r="E352" t="inlineStr">
        <is>
          <t>KARLSKOGA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52826-2024</t>
        </is>
      </c>
      <c r="B353" s="1" t="n">
        <v>45610</v>
      </c>
      <c r="C353" s="1" t="n">
        <v>45780</v>
      </c>
      <c r="D353" t="inlineStr">
        <is>
          <t>ÖREBRO LÄN</t>
        </is>
      </c>
      <c r="E353" t="inlineStr">
        <is>
          <t>KARLSKOGA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53618-2024</t>
        </is>
      </c>
      <c r="B354" s="1" t="n">
        <v>45614</v>
      </c>
      <c r="C354" s="1" t="n">
        <v>45780</v>
      </c>
      <c r="D354" t="inlineStr">
        <is>
          <t>ÖREBRO LÄN</t>
        </is>
      </c>
      <c r="E354" t="inlineStr">
        <is>
          <t>KARLSKOGA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53619-2024</t>
        </is>
      </c>
      <c r="B355" s="1" t="n">
        <v>45614</v>
      </c>
      <c r="C355" s="1" t="n">
        <v>45780</v>
      </c>
      <c r="D355" t="inlineStr">
        <is>
          <t>ÖREBRO LÄN</t>
        </is>
      </c>
      <c r="E355" t="inlineStr">
        <is>
          <t>KARLSKOGA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53620-2024</t>
        </is>
      </c>
      <c r="B356" s="1" t="n">
        <v>45614</v>
      </c>
      <c r="C356" s="1" t="n">
        <v>45780</v>
      </c>
      <c r="D356" t="inlineStr">
        <is>
          <t>ÖREBRO LÄN</t>
        </is>
      </c>
      <c r="E356" t="inlineStr">
        <is>
          <t>KARLSKOGA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55182-2024</t>
        </is>
      </c>
      <c r="B357" s="1" t="n">
        <v>45618</v>
      </c>
      <c r="C357" s="1" t="n">
        <v>45780</v>
      </c>
      <c r="D357" t="inlineStr">
        <is>
          <t>ÖREBRO LÄN</t>
        </is>
      </c>
      <c r="E357" t="inlineStr">
        <is>
          <t>KARLSKOGA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56313-2024</t>
        </is>
      </c>
      <c r="B358" s="1" t="n">
        <v>45624</v>
      </c>
      <c r="C358" s="1" t="n">
        <v>45780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56427-2024</t>
        </is>
      </c>
      <c r="B359" s="1" t="n">
        <v>45624</v>
      </c>
      <c r="C359" s="1" t="n">
        <v>45780</v>
      </c>
      <c r="D359" t="inlineStr">
        <is>
          <t>ÖREBRO LÄN</t>
        </is>
      </c>
      <c r="E359" t="inlineStr">
        <is>
          <t>KARLSKOGA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56448-2024</t>
        </is>
      </c>
      <c r="B360" s="1" t="n">
        <v>45625</v>
      </c>
      <c r="C360" s="1" t="n">
        <v>45780</v>
      </c>
      <c r="D360" t="inlineStr">
        <is>
          <t>ÖREBRO LÄN</t>
        </is>
      </c>
      <c r="E360" t="inlineStr">
        <is>
          <t>KARLSKOGA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58388-2024</t>
        </is>
      </c>
      <c r="B361" s="1" t="n">
        <v>45633</v>
      </c>
      <c r="C361" s="1" t="n">
        <v>45780</v>
      </c>
      <c r="D361" t="inlineStr">
        <is>
          <t>ÖREBRO LÄN</t>
        </is>
      </c>
      <c r="E361" t="inlineStr">
        <is>
          <t>KARLSKOGA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58390-2024</t>
        </is>
      </c>
      <c r="B362" s="1" t="n">
        <v>45633</v>
      </c>
      <c r="C362" s="1" t="n">
        <v>45780</v>
      </c>
      <c r="D362" t="inlineStr">
        <is>
          <t>ÖREBRO LÄN</t>
        </is>
      </c>
      <c r="E362" t="inlineStr">
        <is>
          <t>KARLSKOGA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59060-2024</t>
        </is>
      </c>
      <c r="B363" s="1" t="n">
        <v>45636</v>
      </c>
      <c r="C363" s="1" t="n">
        <v>45780</v>
      </c>
      <c r="D363" t="inlineStr">
        <is>
          <t>ÖREBRO LÄN</t>
        </is>
      </c>
      <c r="E363" t="inlineStr">
        <is>
          <t>KARLSKOGA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59025-2024</t>
        </is>
      </c>
      <c r="B364" s="1" t="n">
        <v>45636</v>
      </c>
      <c r="C364" s="1" t="n">
        <v>45780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61372-2024</t>
        </is>
      </c>
      <c r="B365" s="1" t="n">
        <v>45646</v>
      </c>
      <c r="C365" s="1" t="n">
        <v>45780</v>
      </c>
      <c r="D365" t="inlineStr">
        <is>
          <t>ÖREBRO LÄN</t>
        </is>
      </c>
      <c r="E365" t="inlineStr">
        <is>
          <t>KARLSKOGA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61527-2024</t>
        </is>
      </c>
      <c r="B366" s="1" t="n">
        <v>45646</v>
      </c>
      <c r="C366" s="1" t="n">
        <v>45780</v>
      </c>
      <c r="D366" t="inlineStr">
        <is>
          <t>ÖREBRO LÄN</t>
        </is>
      </c>
      <c r="E366" t="inlineStr">
        <is>
          <t>KARLSKOGA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61813-2024</t>
        </is>
      </c>
      <c r="B367" s="1" t="n">
        <v>45649</v>
      </c>
      <c r="C367" s="1" t="n">
        <v>45780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62119-2024</t>
        </is>
      </c>
      <c r="B368" s="1" t="n">
        <v>45656</v>
      </c>
      <c r="C368" s="1" t="n">
        <v>45780</v>
      </c>
      <c r="D368" t="inlineStr">
        <is>
          <t>ÖREBRO LÄN</t>
        </is>
      </c>
      <c r="E368" t="inlineStr">
        <is>
          <t>KARLSKOGA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366-2025</t>
        </is>
      </c>
      <c r="B369" s="1" t="n">
        <v>45661</v>
      </c>
      <c r="C369" s="1" t="n">
        <v>45780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1097-2025</t>
        </is>
      </c>
      <c r="B370" s="1" t="n">
        <v>45666</v>
      </c>
      <c r="C370" s="1" t="n">
        <v>45780</v>
      </c>
      <c r="D370" t="inlineStr">
        <is>
          <t>ÖREBRO LÄN</t>
        </is>
      </c>
      <c r="E370" t="inlineStr">
        <is>
          <t>KARLSKOGA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2224-2025</t>
        </is>
      </c>
      <c r="B371" s="1" t="n">
        <v>45673</v>
      </c>
      <c r="C371" s="1" t="n">
        <v>45780</v>
      </c>
      <c r="D371" t="inlineStr">
        <is>
          <t>ÖREBRO LÄN</t>
        </is>
      </c>
      <c r="E371" t="inlineStr">
        <is>
          <t>KARLSKOGA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3227-2025</t>
        </is>
      </c>
      <c r="B372" s="1" t="n">
        <v>45679</v>
      </c>
      <c r="C372" s="1" t="n">
        <v>45780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3237-2025</t>
        </is>
      </c>
      <c r="B373" s="1" t="n">
        <v>45679</v>
      </c>
      <c r="C373" s="1" t="n">
        <v>45780</v>
      </c>
      <c r="D373" t="inlineStr">
        <is>
          <t>ÖREBRO LÄN</t>
        </is>
      </c>
      <c r="E373" t="inlineStr">
        <is>
          <t>KARLSKOGA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4587-2025</t>
        </is>
      </c>
      <c r="B374" s="1" t="n">
        <v>45687</v>
      </c>
      <c r="C374" s="1" t="n">
        <v>45780</v>
      </c>
      <c r="D374" t="inlineStr">
        <is>
          <t>ÖREBRO LÄN</t>
        </is>
      </c>
      <c r="E374" t="inlineStr">
        <is>
          <t>KARLSKOGA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4971-2025</t>
        </is>
      </c>
      <c r="B375" s="1" t="n">
        <v>45690</v>
      </c>
      <c r="C375" s="1" t="n">
        <v>45780</v>
      </c>
      <c r="D375" t="inlineStr">
        <is>
          <t>ÖREBRO LÄN</t>
        </is>
      </c>
      <c r="E375" t="inlineStr">
        <is>
          <t>KARLSKOGA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6835-2025</t>
        </is>
      </c>
      <c r="B376" s="1" t="n">
        <v>45700</v>
      </c>
      <c r="C376" s="1" t="n">
        <v>45780</v>
      </c>
      <c r="D376" t="inlineStr">
        <is>
          <t>ÖREBRO LÄN</t>
        </is>
      </c>
      <c r="E376" t="inlineStr">
        <is>
          <t>KARLSKOGA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7291-2025</t>
        </is>
      </c>
      <c r="B377" s="1" t="n">
        <v>45702</v>
      </c>
      <c r="C377" s="1" t="n">
        <v>45780</v>
      </c>
      <c r="D377" t="inlineStr">
        <is>
          <t>ÖREBRO LÄN</t>
        </is>
      </c>
      <c r="E377" t="inlineStr">
        <is>
          <t>KARLSKOGA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8244-2025</t>
        </is>
      </c>
      <c r="B378" s="1" t="n">
        <v>45708</v>
      </c>
      <c r="C378" s="1" t="n">
        <v>45780</v>
      </c>
      <c r="D378" t="inlineStr">
        <is>
          <t>ÖREBRO LÄN</t>
        </is>
      </c>
      <c r="E378" t="inlineStr">
        <is>
          <t>KARLSKOGA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8259-2025</t>
        </is>
      </c>
      <c r="B379" s="1" t="n">
        <v>45708</v>
      </c>
      <c r="C379" s="1" t="n">
        <v>45780</v>
      </c>
      <c r="D379" t="inlineStr">
        <is>
          <t>ÖREBRO LÄN</t>
        </is>
      </c>
      <c r="E379" t="inlineStr">
        <is>
          <t>KARLSKOGA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8803-2025</t>
        </is>
      </c>
      <c r="B380" s="1" t="n">
        <v>45712</v>
      </c>
      <c r="C380" s="1" t="n">
        <v>45780</v>
      </c>
      <c r="D380" t="inlineStr">
        <is>
          <t>ÖREBRO LÄN</t>
        </is>
      </c>
      <c r="E380" t="inlineStr">
        <is>
          <t>KARLSKOGA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9941-2025</t>
        </is>
      </c>
      <c r="B381" s="1" t="n">
        <v>45718</v>
      </c>
      <c r="C381" s="1" t="n">
        <v>45780</v>
      </c>
      <c r="D381" t="inlineStr">
        <is>
          <t>ÖREBRO LÄN</t>
        </is>
      </c>
      <c r="E381" t="inlineStr">
        <is>
          <t>KARLSKOGA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9957-2025</t>
        </is>
      </c>
      <c r="B382" s="1" t="n">
        <v>45719</v>
      </c>
      <c r="C382" s="1" t="n">
        <v>45780</v>
      </c>
      <c r="D382" t="inlineStr">
        <is>
          <t>ÖREBRO LÄN</t>
        </is>
      </c>
      <c r="E382" t="inlineStr">
        <is>
          <t>KARLSKOGA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10506-2025</t>
        </is>
      </c>
      <c r="B383" s="1" t="n">
        <v>45721</v>
      </c>
      <c r="C383" s="1" t="n">
        <v>45780</v>
      </c>
      <c r="D383" t="inlineStr">
        <is>
          <t>ÖREBRO LÄN</t>
        </is>
      </c>
      <c r="E383" t="inlineStr">
        <is>
          <t>KARLSKOGA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11149-2025</t>
        </is>
      </c>
      <c r="B384" s="1" t="n">
        <v>45723</v>
      </c>
      <c r="C384" s="1" t="n">
        <v>45780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11148-2025</t>
        </is>
      </c>
      <c r="B385" s="1" t="n">
        <v>45723</v>
      </c>
      <c r="C385" s="1" t="n">
        <v>45780</v>
      </c>
      <c r="D385" t="inlineStr">
        <is>
          <t>ÖREBRO LÄN</t>
        </is>
      </c>
      <c r="E385" t="inlineStr">
        <is>
          <t>KARLSKOGA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11974-2025</t>
        </is>
      </c>
      <c r="B386" s="1" t="n">
        <v>45728</v>
      </c>
      <c r="C386" s="1" t="n">
        <v>45780</v>
      </c>
      <c r="D386" t="inlineStr">
        <is>
          <t>ÖREBRO LÄN</t>
        </is>
      </c>
      <c r="E386" t="inlineStr">
        <is>
          <t>KARLSKOGA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13496-2025</t>
        </is>
      </c>
      <c r="B387" s="1" t="n">
        <v>45736</v>
      </c>
      <c r="C387" s="1" t="n">
        <v>45780</v>
      </c>
      <c r="D387" t="inlineStr">
        <is>
          <t>ÖREBRO LÄN</t>
        </is>
      </c>
      <c r="E387" t="inlineStr">
        <is>
          <t>KARLSKOGA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13501-2025</t>
        </is>
      </c>
      <c r="B388" s="1" t="n">
        <v>45736</v>
      </c>
      <c r="C388" s="1" t="n">
        <v>45780</v>
      </c>
      <c r="D388" t="inlineStr">
        <is>
          <t>ÖREBRO LÄN</t>
        </is>
      </c>
      <c r="E388" t="inlineStr">
        <is>
          <t>KARLSKOGA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13520-2025</t>
        </is>
      </c>
      <c r="B389" s="1" t="n">
        <v>45736</v>
      </c>
      <c r="C389" s="1" t="n">
        <v>45780</v>
      </c>
      <c r="D389" t="inlineStr">
        <is>
          <t>ÖREBRO LÄN</t>
        </is>
      </c>
      <c r="E389" t="inlineStr">
        <is>
          <t>KARLSKOGA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15188-2025</t>
        </is>
      </c>
      <c r="B390" s="1" t="n">
        <v>45744</v>
      </c>
      <c r="C390" s="1" t="n">
        <v>45780</v>
      </c>
      <c r="D390" t="inlineStr">
        <is>
          <t>ÖREBRO LÄN</t>
        </is>
      </c>
      <c r="E390" t="inlineStr">
        <is>
          <t>KARLSKOGA</t>
        </is>
      </c>
      <c r="F390" t="inlineStr">
        <is>
          <t>Övriga Aktiebolag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15254-2025</t>
        </is>
      </c>
      <c r="B391" s="1" t="n">
        <v>45744</v>
      </c>
      <c r="C391" s="1" t="n">
        <v>45780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15256-2025</t>
        </is>
      </c>
      <c r="B392" s="1" t="n">
        <v>45744</v>
      </c>
      <c r="C392" s="1" t="n">
        <v>45780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15255-2025</t>
        </is>
      </c>
      <c r="B393" s="1" t="n">
        <v>45744</v>
      </c>
      <c r="C393" s="1" t="n">
        <v>45780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15269-2025</t>
        </is>
      </c>
      <c r="B394" s="1" t="n">
        <v>45744</v>
      </c>
      <c r="C394" s="1" t="n">
        <v>45780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15252-2025</t>
        </is>
      </c>
      <c r="B395" s="1" t="n">
        <v>45744</v>
      </c>
      <c r="C395" s="1" t="n">
        <v>45780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15253-2025</t>
        </is>
      </c>
      <c r="B396" s="1" t="n">
        <v>45744</v>
      </c>
      <c r="C396" s="1" t="n">
        <v>45780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16256-2025</t>
        </is>
      </c>
      <c r="B397" s="1" t="n">
        <v>45750</v>
      </c>
      <c r="C397" s="1" t="n">
        <v>45780</v>
      </c>
      <c r="D397" t="inlineStr">
        <is>
          <t>ÖREBRO LÄN</t>
        </is>
      </c>
      <c r="E397" t="inlineStr">
        <is>
          <t>KARLSKOGA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16476-2025</t>
        </is>
      </c>
      <c r="B398" s="1" t="n">
        <v>45751</v>
      </c>
      <c r="C398" s="1" t="n">
        <v>45780</v>
      </c>
      <c r="D398" t="inlineStr">
        <is>
          <t>ÖREBRO LÄN</t>
        </is>
      </c>
      <c r="E398" t="inlineStr">
        <is>
          <t>KARLSKOGA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17248-2025</t>
        </is>
      </c>
      <c r="B399" s="1" t="n">
        <v>45756</v>
      </c>
      <c r="C399" s="1" t="n">
        <v>45780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17234-2025</t>
        </is>
      </c>
      <c r="B400" s="1" t="n">
        <v>45756</v>
      </c>
      <c r="C400" s="1" t="n">
        <v>45780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17274-2025</t>
        </is>
      </c>
      <c r="B401" s="1" t="n">
        <v>45756</v>
      </c>
      <c r="C401" s="1" t="n">
        <v>45780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17277-2025</t>
        </is>
      </c>
      <c r="B402" s="1" t="n">
        <v>45756</v>
      </c>
      <c r="C402" s="1" t="n">
        <v>45780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17273-2025</t>
        </is>
      </c>
      <c r="B403" s="1" t="n">
        <v>45756</v>
      </c>
      <c r="C403" s="1" t="n">
        <v>45780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17782-2025</t>
        </is>
      </c>
      <c r="B404" s="1" t="n">
        <v>45758</v>
      </c>
      <c r="C404" s="1" t="n">
        <v>45780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17807-2025</t>
        </is>
      </c>
      <c r="B405" s="1" t="n">
        <v>45758</v>
      </c>
      <c r="C405" s="1" t="n">
        <v>45780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17815-2025</t>
        </is>
      </c>
      <c r="B406" s="1" t="n">
        <v>45758</v>
      </c>
      <c r="C406" s="1" t="n">
        <v>45780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17803-2025</t>
        </is>
      </c>
      <c r="B407" s="1" t="n">
        <v>45758</v>
      </c>
      <c r="C407" s="1" t="n">
        <v>45780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18468-2025</t>
        </is>
      </c>
      <c r="B408" s="1" t="n">
        <v>45762</v>
      </c>
      <c r="C408" s="1" t="n">
        <v>45780</v>
      </c>
      <c r="D408" t="inlineStr">
        <is>
          <t>ÖREBRO LÄN</t>
        </is>
      </c>
      <c r="E408" t="inlineStr">
        <is>
          <t>KARLSKOGA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18496-2025</t>
        </is>
      </c>
      <c r="B409" s="1" t="n">
        <v>45763</v>
      </c>
      <c r="C409" s="1" t="n">
        <v>45780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18494-2025</t>
        </is>
      </c>
      <c r="B410" s="1" t="n">
        <v>45763</v>
      </c>
      <c r="C410" s="1" t="n">
        <v>45780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18495-2025</t>
        </is>
      </c>
      <c r="B411" s="1" t="n">
        <v>45763</v>
      </c>
      <c r="C411" s="1" t="n">
        <v>45780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18766-2025</t>
        </is>
      </c>
      <c r="B412" s="1" t="n">
        <v>45764</v>
      </c>
      <c r="C412" s="1" t="n">
        <v>45780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18768-2025</t>
        </is>
      </c>
      <c r="B413" s="1" t="n">
        <v>45764</v>
      </c>
      <c r="C413" s="1" t="n">
        <v>45780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18955-2025</t>
        </is>
      </c>
      <c r="B414" s="1" t="n">
        <v>45764</v>
      </c>
      <c r="C414" s="1" t="n">
        <v>45780</v>
      </c>
      <c r="D414" t="inlineStr">
        <is>
          <t>ÖREBRO LÄN</t>
        </is>
      </c>
      <c r="E414" t="inlineStr">
        <is>
          <t>KARLSKOGA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18963-2025</t>
        </is>
      </c>
      <c r="B415" s="1" t="n">
        <v>45764</v>
      </c>
      <c r="C415" s="1" t="n">
        <v>45780</v>
      </c>
      <c r="D415" t="inlineStr">
        <is>
          <t>ÖREBRO LÄN</t>
        </is>
      </c>
      <c r="E415" t="inlineStr">
        <is>
          <t>KARLSKOGA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18978-2025</t>
        </is>
      </c>
      <c r="B416" s="1" t="n">
        <v>45764</v>
      </c>
      <c r="C416" s="1" t="n">
        <v>45780</v>
      </c>
      <c r="D416" t="inlineStr">
        <is>
          <t>ÖREBRO LÄN</t>
        </is>
      </c>
      <c r="E416" t="inlineStr">
        <is>
          <t>KARLSKOGA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19756-2025</t>
        </is>
      </c>
      <c r="B417" s="1" t="n">
        <v>45771</v>
      </c>
      <c r="C417" s="1" t="n">
        <v>45780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20138-2025</t>
        </is>
      </c>
      <c r="B418" s="1" t="n">
        <v>45772</v>
      </c>
      <c r="C418" s="1" t="n">
        <v>45780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20139-2025</t>
        </is>
      </c>
      <c r="B419" s="1" t="n">
        <v>45772</v>
      </c>
      <c r="C419" s="1" t="n">
        <v>45780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45780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20470-2025</t>
        </is>
      </c>
      <c r="B422" s="1" t="n">
        <v>45775</v>
      </c>
      <c r="C422" s="1" t="n">
        <v>45780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45780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21105-2025</t>
        </is>
      </c>
      <c r="B424" s="1" t="n">
        <v>45777</v>
      </c>
      <c r="C424" s="1" t="n">
        <v>45780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21247-2025</t>
        </is>
      </c>
      <c r="B425" s="1" t="n">
        <v>45779</v>
      </c>
      <c r="C425" s="1" t="n">
        <v>45780</v>
      </c>
      <c r="D425" t="inlineStr">
        <is>
          <t>ÖREBRO LÄN</t>
        </is>
      </c>
      <c r="E425" t="inlineStr">
        <is>
          <t>KARLSKOGA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21210-2025</t>
        </is>
      </c>
      <c r="B426" s="1" t="n">
        <v>45779</v>
      </c>
      <c r="C426" s="1" t="n">
        <v>45780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2025-05-03T18:12:51Z</dcterms:created>
  <dcterms:modified xmlns:dcterms="http://purl.org/dc/terms/" xmlns:xsi="http://www.w3.org/2001/XMLSchema-instance" xsi:type="dcterms:W3CDTF">2025-05-03T18:12:51Z</dcterms:modified>
</cp:coreProperties>
</file>