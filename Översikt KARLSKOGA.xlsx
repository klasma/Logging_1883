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46310</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46310</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46310</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46310</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46310</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46310</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46310</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46310</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60085-2021</t>
        </is>
      </c>
      <c r="B10" t="inlineStr">
        <is>
          <t>avverkningsanmälan</t>
        </is>
      </c>
      <c r="C10" t="inlineStr">
        <is>
          <t>Föryngringsavverkning</t>
        </is>
      </c>
      <c r="D10" s="1" t="n">
        <v>44495</v>
      </c>
      <c r="E10" s="1" t="n">
        <v>46310</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46310</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46310</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18428-2026</t>
        </is>
      </c>
      <c r="B13" t="inlineStr">
        <is>
          <t>avverkningsanmälan</t>
        </is>
      </c>
      <c r="C13" t="inlineStr">
        <is>
          <t>Föryngringsavverkning</t>
        </is>
      </c>
      <c r="D13" s="1" t="n">
        <v>46127</v>
      </c>
      <c r="E13" s="1" t="n">
        <v>46310</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46310</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39936-2024</t>
        </is>
      </c>
      <c r="B15" t="inlineStr">
        <is>
          <t>avverkningsanmälan</t>
        </is>
      </c>
      <c r="C15" t="inlineStr">
        <is>
          <t>Föryngringsavverkning</t>
        </is>
      </c>
      <c r="D15" s="1" t="n">
        <v>45553</v>
      </c>
      <c r="E15" s="1" t="n">
        <v>46310</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39025-2022</t>
        </is>
      </c>
      <c r="B16" t="inlineStr">
        <is>
          <t>avverkningsanmälan</t>
        </is>
      </c>
      <c r="C16" t="inlineStr">
        <is>
          <t>Föryngringsavverkning</t>
        </is>
      </c>
      <c r="D16" s="1" t="n">
        <v>44817</v>
      </c>
      <c r="E16" s="1" t="n">
        <v>46310</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38023-2026</t>
        </is>
      </c>
      <c r="B17" t="inlineStr">
        <is>
          <t>avverkningsanmälan</t>
        </is>
      </c>
      <c r="C17" t="inlineStr">
        <is>
          <t>Föryngringsavverkning</t>
        </is>
      </c>
      <c r="D17" s="1" t="n">
        <v>46280</v>
      </c>
      <c r="E17" s="1" t="n">
        <v>46310</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52377-2025</t>
        </is>
      </c>
      <c r="B18" t="inlineStr">
        <is>
          <t>avverkningsanmälan</t>
        </is>
      </c>
      <c r="C18" t="inlineStr">
        <is>
          <t>Föryngringsavverkning</t>
        </is>
      </c>
      <c r="D18" s="1" t="n">
        <v>45953</v>
      </c>
      <c r="E18" s="1" t="n">
        <v>46310</v>
      </c>
      <c r="F18" t="inlineStr">
        <is>
          <t>ÖREBRO LÄN</t>
        </is>
      </c>
      <c r="G18" t="inlineStr">
        <is>
          <t>KARLSKOGA</t>
        </is>
      </c>
      <c r="H18" t="inlineStr">
        <is>
          <t>Sveaskog</t>
        </is>
      </c>
      <c r="I18" t="n">
        <v>2.6</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HYPERLINK("https://klasma.github.io/Logging_1883/artfynd/A 52377-2025 artfynd.xlsx", "A 52377-2025")</f>
        <v/>
      </c>
      <c r="X18">
        <f>HYPERLINK("https://klasma.github.io/Logging_1883/kartor/A 52377-2025 karta.png", "A 52377-2025")</f>
        <v/>
      </c>
      <c r="Y18">
        <f>HYPERLINK("https://klasma.github.io/Logging_1883/kartor_geotiff/A 52377-2025 georefererad karta.tif", "A 52377-2025")</f>
        <v/>
      </c>
      <c r="AA18">
        <f>HYPERLINK("https://klasma.github.io/Logging_1883/klagomål/A 52377-2025 FSC-klagomål.docx", "A 52377-2025")</f>
        <v/>
      </c>
      <c r="AB18">
        <f>HYPERLINK("https://klasma.github.io/Logging_1883/klagomålsmail/A 52377-2025 FSC-klagomål mail.docx", "A 52377-2025")</f>
        <v/>
      </c>
      <c r="AC18">
        <f>HYPERLINK("https://klasma.github.io/Logging_1883/tillsyn/A 52377-2025 tillsynsbegäran.docx", "A 52377-2025")</f>
        <v/>
      </c>
      <c r="AD18">
        <f>HYPERLINK("https://klasma.github.io/Logging_1883/tillsynsmail/A 52377-2025 tillsynsbegäran mail.docx", "A 52377-2025")</f>
        <v/>
      </c>
    </row>
    <row r="19" ht="15" customHeight="1">
      <c r="A19" t="inlineStr">
        <is>
          <t>A 63188-2025</t>
        </is>
      </c>
      <c r="B19" t="inlineStr">
        <is>
          <t>avverkningsanmälan</t>
        </is>
      </c>
      <c r="C19" t="inlineStr">
        <is>
          <t>Föryngringsavverkning</t>
        </is>
      </c>
      <c r="D19" s="1" t="n">
        <v>46010</v>
      </c>
      <c r="E19" s="1" t="n">
        <v>46310</v>
      </c>
      <c r="F19" t="inlineStr">
        <is>
          <t>ÖREBRO LÄN</t>
        </is>
      </c>
      <c r="G19" t="inlineStr">
        <is>
          <t>KARLSKOGA</t>
        </is>
      </c>
      <c r="H19" t="inlineStr">
        <is>
          <t>Sveaskog</t>
        </is>
      </c>
      <c r="I19" t="n">
        <v>1.1</v>
      </c>
      <c r="J19" t="n">
        <v>1</v>
      </c>
      <c r="K19" t="n">
        <v>0</v>
      </c>
      <c r="L19" t="n">
        <v>1</v>
      </c>
      <c r="M19" t="n">
        <v>0</v>
      </c>
      <c r="N19" t="n">
        <v>0</v>
      </c>
      <c r="O19" t="n">
        <v>0</v>
      </c>
      <c r="P19" t="n">
        <v>0</v>
      </c>
      <c r="Q19" t="n">
        <v>1</v>
      </c>
      <c r="R19" t="n">
        <v>0</v>
      </c>
      <c r="S19" t="n">
        <v>1</v>
      </c>
      <c r="T19" t="n">
        <v>2</v>
      </c>
      <c r="U19" t="n">
        <v>2</v>
      </c>
      <c r="V19" s="2" t="inlineStr">
        <is>
          <t>Tretåig hackspett</t>
        </is>
      </c>
      <c r="W19">
        <f>HYPERLINK("https://klasma.github.io/Logging_1883/artfynd/A 63188-2025 artfynd.xlsx", "A 63188-2025")</f>
        <v/>
      </c>
      <c r="X19">
        <f>HYPERLINK("https://klasma.github.io/Logging_1883/kartor/A 63188-2025 karta.png", "A 63188-2025")</f>
        <v/>
      </c>
      <c r="Y19">
        <f>HYPERLINK("https://klasma.github.io/Logging_1883/kartor_geotiff/A 63188-2025 georefererad karta.tif", "A 63188-2025")</f>
        <v/>
      </c>
      <c r="AA19">
        <f>HYPERLINK("https://klasma.github.io/Logging_1883/klagomål/A 63188-2025 FSC-klagomål.docx", "A 63188-2025")</f>
        <v/>
      </c>
      <c r="AB19">
        <f>HYPERLINK("https://klasma.github.io/Logging_1883/klagomålsmail/A 63188-2025 FSC-klagomål mail.docx", "A 63188-2025")</f>
        <v/>
      </c>
      <c r="AC19">
        <f>HYPERLINK("https://klasma.github.io/Logging_1883/tillsyn/A 63188-2025 tillsynsbegäran.docx", "A 63188-2025")</f>
        <v/>
      </c>
      <c r="AD19">
        <f>HYPERLINK("https://klasma.github.io/Logging_1883/tillsynsmail/A 63188-2025 tillsynsbegäran mail.docx", "A 63188-2025")</f>
        <v/>
      </c>
      <c r="AE19">
        <f>HYPERLINK("https://klasma.github.io/Logging_1883/fåglar/A 63188-2025 prioriterade fågelarter.docx", "A 63188-2025")</f>
        <v/>
      </c>
    </row>
    <row r="20" ht="15" customHeight="1">
      <c r="A20" t="inlineStr">
        <is>
          <t>A 16784-2026</t>
        </is>
      </c>
      <c r="B20" t="inlineStr">
        <is>
          <t>avverkningsanmälan</t>
        </is>
      </c>
      <c r="C20" t="inlineStr">
        <is>
          <t>Föryngringsavverkning</t>
        </is>
      </c>
      <c r="D20" s="1" t="n">
        <v>46113</v>
      </c>
      <c r="E20" s="1" t="n">
        <v>46310</v>
      </c>
      <c r="F20" t="inlineStr">
        <is>
          <t>ÖREBRO LÄN</t>
        </is>
      </c>
      <c r="G20" t="inlineStr">
        <is>
          <t>KARLSKOGA</t>
        </is>
      </c>
      <c r="H20" t="inlineStr">
        <is>
          <t>Sveaskog</t>
        </is>
      </c>
      <c r="I20" t="n">
        <v>4.2</v>
      </c>
      <c r="J20" t="n">
        <v>1</v>
      </c>
      <c r="K20" t="n">
        <v>0</v>
      </c>
      <c r="L20" t="n">
        <v>0</v>
      </c>
      <c r="M20" t="n">
        <v>0</v>
      </c>
      <c r="N20" t="n">
        <v>0</v>
      </c>
      <c r="O20" t="n">
        <v>0</v>
      </c>
      <c r="P20" t="n">
        <v>0</v>
      </c>
      <c r="Q20" t="n">
        <v>0</v>
      </c>
      <c r="R20" t="n">
        <v>0</v>
      </c>
      <c r="S20" t="n">
        <v>1</v>
      </c>
      <c r="T20" t="n">
        <v>2</v>
      </c>
      <c r="U20" t="n">
        <v>0</v>
      </c>
      <c r="V20" s="2" t="inlineStr">
        <is>
          <t>Hårklomossa</t>
        </is>
      </c>
      <c r="W20">
        <f>HYPERLINK("https://klasma.github.io/Logging_1883/artfynd/A 16784-2026 artfynd.xlsx", "A 16784-2026")</f>
        <v/>
      </c>
      <c r="X20">
        <f>HYPERLINK("https://klasma.github.io/Logging_1883/kartor/A 16784-2026 karta.png", "A 16784-2026")</f>
        <v/>
      </c>
      <c r="Y20">
        <f>HYPERLINK("https://klasma.github.io/Logging_1883/kartor_geotiff/A 16784-2026 georefererad karta.tif", "A 16784-2026")</f>
        <v/>
      </c>
      <c r="AA20">
        <f>HYPERLINK("https://klasma.github.io/Logging_1883/klagomål/A 16784-2026 FSC-klagomål.docx", "A 16784-2026")</f>
        <v/>
      </c>
      <c r="AB20">
        <f>HYPERLINK("https://klasma.github.io/Logging_1883/klagomålsmail/A 16784-2026 FSC-klagomål mail.docx", "A 16784-2026")</f>
        <v/>
      </c>
      <c r="AC20">
        <f>HYPERLINK("https://klasma.github.io/Logging_1883/tillsyn/A 16784-2026 tillsynsbegäran.docx", "A 16784-2026")</f>
        <v/>
      </c>
      <c r="AD20">
        <f>HYPERLINK("https://klasma.github.io/Logging_1883/tillsynsmail/A 16784-2026 tillsynsbegäran mail.docx", "A 16784-2026")</f>
        <v/>
      </c>
    </row>
    <row r="21" ht="15" customHeight="1">
      <c r="A21" t="inlineStr">
        <is>
          <t>A 18427-2026</t>
        </is>
      </c>
      <c r="B21" t="inlineStr">
        <is>
          <t>avverkningsanmälan</t>
        </is>
      </c>
      <c r="C21" t="inlineStr">
        <is>
          <t>Föryngringsavverkning</t>
        </is>
      </c>
      <c r="D21" s="1" t="n">
        <v>46127</v>
      </c>
      <c r="E21" s="1" t="n">
        <v>46310</v>
      </c>
      <c r="F21" t="inlineStr">
        <is>
          <t>ÖREBRO LÄN</t>
        </is>
      </c>
      <c r="G21" t="inlineStr">
        <is>
          <t>KARLSKOGA</t>
        </is>
      </c>
      <c r="H21" t="inlineStr">
        <is>
          <t>Sveaskog</t>
        </is>
      </c>
      <c r="I21" t="n">
        <v>3</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HYPERLINK("https://klasma.github.io/Logging_1883/artfynd/A 18427-2026 artfynd.xlsx", "A 18427-2026")</f>
        <v/>
      </c>
      <c r="X21">
        <f>HYPERLINK("https://klasma.github.io/Logging_1883/kartor/A 18427-2026 karta.png", "A 18427-2026")</f>
        <v/>
      </c>
      <c r="Y21">
        <f>HYPERLINK("https://klasma.github.io/Logging_1883/kartor_geotiff/A 18427-2026 georefererad karta.tif", "A 18427-2026")</f>
        <v/>
      </c>
      <c r="AA21">
        <f>HYPERLINK("https://klasma.github.io/Logging_1883/klagomål/A 18427-2026 FSC-klagomål.docx", "A 18427-2026")</f>
        <v/>
      </c>
      <c r="AB21">
        <f>HYPERLINK("https://klasma.github.io/Logging_1883/klagomålsmail/A 18427-2026 FSC-klagomål mail.docx", "A 18427-2026")</f>
        <v/>
      </c>
      <c r="AC21">
        <f>HYPERLINK("https://klasma.github.io/Logging_1883/tillsyn/A 18427-2026 tillsynsbegäran.docx", "A 18427-2026")</f>
        <v/>
      </c>
      <c r="AD21">
        <f>HYPERLINK("https://klasma.github.io/Logging_1883/tillsynsmail/A 18427-2026 tillsynsbegäran mail.docx", "A 18427-2026")</f>
        <v/>
      </c>
      <c r="AE21">
        <f>HYPERLINK("https://klasma.github.io/Logging_1883/fåglar/A 18427-2026 prioriterade fågelarter.docx", "A 18427-2026")</f>
        <v/>
      </c>
    </row>
    <row r="22" ht="15" customHeight="1">
      <c r="A22" t="inlineStr">
        <is>
          <t>A 19233-2026</t>
        </is>
      </c>
      <c r="B22" t="inlineStr">
        <is>
          <t>avverkningsanmälan</t>
        </is>
      </c>
      <c r="C22" t="inlineStr">
        <is>
          <t>Föryngringsavverkning</t>
        </is>
      </c>
      <c r="D22" s="1" t="n">
        <v>46132</v>
      </c>
      <c r="E22" s="1" t="n">
        <v>46310</v>
      </c>
      <c r="F22" t="inlineStr">
        <is>
          <t>ÖREBRO LÄN</t>
        </is>
      </c>
      <c r="G22" t="inlineStr">
        <is>
          <t>KARLSKOGA</t>
        </is>
      </c>
      <c r="I22" t="n">
        <v>1.6</v>
      </c>
      <c r="J22" t="n">
        <v>0</v>
      </c>
      <c r="K22" t="n">
        <v>1</v>
      </c>
      <c r="L22" t="n">
        <v>0</v>
      </c>
      <c r="M22" t="n">
        <v>0</v>
      </c>
      <c r="N22" t="n">
        <v>0</v>
      </c>
      <c r="O22" t="n">
        <v>0</v>
      </c>
      <c r="P22" t="n">
        <v>0</v>
      </c>
      <c r="Q22" t="n">
        <v>0</v>
      </c>
      <c r="R22" t="n">
        <v>0</v>
      </c>
      <c r="S22" t="n">
        <v>1</v>
      </c>
      <c r="T22" t="n">
        <v>1</v>
      </c>
      <c r="U22" t="n">
        <v>0</v>
      </c>
      <c r="V22" s="2" t="inlineStr">
        <is>
          <t>Svart trolldruva</t>
        </is>
      </c>
      <c r="W22">
        <f>HYPERLINK("https://klasma.github.io/Logging_1883/artfynd/A 19233-2026 artfynd.xlsx", "A 19233-2026")</f>
        <v/>
      </c>
      <c r="X22">
        <f>HYPERLINK("https://klasma.github.io/Logging_1883/kartor/A 19233-2026 karta.png", "A 19233-2026")</f>
        <v/>
      </c>
      <c r="Y22">
        <f>HYPERLINK("https://klasma.github.io/Logging_1883/kartor_geotiff/A 19233-2026 georefererad karta.tif", "A 19233-2026")</f>
        <v/>
      </c>
      <c r="AA22">
        <f>HYPERLINK("https://klasma.github.io/Logging_1883/klagomål/A 19233-2026 FSC-klagomål.docx", "A 19233-2026")</f>
        <v/>
      </c>
      <c r="AB22">
        <f>HYPERLINK("https://klasma.github.io/Logging_1883/klagomålsmail/A 19233-2026 FSC-klagomål mail.docx", "A 19233-2026")</f>
        <v/>
      </c>
      <c r="AC22">
        <f>HYPERLINK("https://klasma.github.io/Logging_1883/tillsyn/A 19233-2026 tillsynsbegäran.docx", "A 19233-2026")</f>
        <v/>
      </c>
      <c r="AD22">
        <f>HYPERLINK("https://klasma.github.io/Logging_1883/tillsynsmail/A 19233-2026 tillsynsbegäran mail.docx", "A 19233-2026")</f>
        <v/>
      </c>
    </row>
    <row r="23" ht="15" customHeight="1">
      <c r="A23" t="inlineStr">
        <is>
          <t>A 21019-2026</t>
        </is>
      </c>
      <c r="B23" t="inlineStr">
        <is>
          <t>avverkningsanmälan</t>
        </is>
      </c>
      <c r="C23" t="inlineStr">
        <is>
          <t>Föryngringsavverkning</t>
        </is>
      </c>
      <c r="D23" s="1" t="n">
        <v>46145</v>
      </c>
      <c r="E23" s="1" t="n">
        <v>46310</v>
      </c>
      <c r="F23" t="inlineStr">
        <is>
          <t>ÖREBRO LÄN</t>
        </is>
      </c>
      <c r="G23" t="inlineStr">
        <is>
          <t>KARLSKOGA</t>
        </is>
      </c>
      <c r="H23" t="inlineStr">
        <is>
          <t>Sveaskog</t>
        </is>
      </c>
      <c r="I23" t="n">
        <v>4.7</v>
      </c>
      <c r="J23" t="n">
        <v>1</v>
      </c>
      <c r="K23" t="n">
        <v>0</v>
      </c>
      <c r="L23" t="n">
        <v>0</v>
      </c>
      <c r="M23" t="n">
        <v>0</v>
      </c>
      <c r="N23" t="n">
        <v>0</v>
      </c>
      <c r="O23" t="n">
        <v>0</v>
      </c>
      <c r="P23" t="n">
        <v>0</v>
      </c>
      <c r="Q23" t="n">
        <v>0</v>
      </c>
      <c r="R23" t="n">
        <v>0</v>
      </c>
      <c r="S23" t="n">
        <v>1</v>
      </c>
      <c r="T23" t="n">
        <v>1</v>
      </c>
      <c r="U23" t="n">
        <v>0</v>
      </c>
      <c r="V23" s="2" t="inlineStr">
        <is>
          <t>Åkergroda</t>
        </is>
      </c>
      <c r="W23">
        <f>HYPERLINK("https://klasma.github.io/Logging_1883/artfynd/A 21019-2026 artfynd.xlsx", "A 21019-2026")</f>
        <v/>
      </c>
      <c r="X23">
        <f>HYPERLINK("https://klasma.github.io/Logging_1883/kartor/A 21019-2026 karta.png", "A 21019-2026")</f>
        <v/>
      </c>
      <c r="Y23">
        <f>HYPERLINK("https://klasma.github.io/Logging_1883/kartor_geotiff/A 21019-2026 georefererad karta.tif", "A 21019-2026")</f>
        <v/>
      </c>
      <c r="AA23">
        <f>HYPERLINK("https://klasma.github.io/Logging_1883/klagomål/A 21019-2026 FSC-klagomål.docx", "A 21019-2026")</f>
        <v/>
      </c>
      <c r="AB23">
        <f>HYPERLINK("https://klasma.github.io/Logging_1883/klagomålsmail/A 21019-2026 FSC-klagomål mail.docx", "A 21019-2026")</f>
        <v/>
      </c>
      <c r="AC23">
        <f>HYPERLINK("https://klasma.github.io/Logging_1883/tillsyn/A 21019-2026 tillsynsbegäran.docx", "A 21019-2026")</f>
        <v/>
      </c>
      <c r="AD23">
        <f>HYPERLINK("https://klasma.github.io/Logging_1883/tillsynsmail/A 21019-2026 tillsynsbegäran mail.docx", "A 21019-2026")</f>
        <v/>
      </c>
    </row>
    <row r="24" ht="15" customHeight="1">
      <c r="A24" t="inlineStr">
        <is>
          <t>A 28474-2023</t>
        </is>
      </c>
      <c r="B24" t="inlineStr">
        <is>
          <t>avverkningsanmälan</t>
        </is>
      </c>
      <c r="C24" t="inlineStr">
        <is>
          <t>Föryngringsavverkning</t>
        </is>
      </c>
      <c r="D24" s="1" t="n">
        <v>45103</v>
      </c>
      <c r="E24" s="1" t="n">
        <v>46310</v>
      </c>
      <c r="F24" t="inlineStr">
        <is>
          <t>ÖREBRO LÄN</t>
        </is>
      </c>
      <c r="G24" t="inlineStr">
        <is>
          <t>KARLSKOGA</t>
        </is>
      </c>
      <c r="I24" t="n">
        <v>5.1</v>
      </c>
      <c r="J24" t="n">
        <v>1</v>
      </c>
      <c r="K24" t="n">
        <v>0</v>
      </c>
      <c r="L24" t="n">
        <v>1</v>
      </c>
      <c r="M24" t="n">
        <v>0</v>
      </c>
      <c r="N24" t="n">
        <v>0</v>
      </c>
      <c r="O24" t="n">
        <v>0</v>
      </c>
      <c r="P24" t="n">
        <v>0</v>
      </c>
      <c r="Q24" t="n">
        <v>1</v>
      </c>
      <c r="R24" t="n">
        <v>0</v>
      </c>
      <c r="S24" t="n">
        <v>1</v>
      </c>
      <c r="T24" t="n">
        <v>1</v>
      </c>
      <c r="U24" t="n">
        <v>1</v>
      </c>
      <c r="V24" s="2" t="inlineStr">
        <is>
          <t>Blåhake</t>
        </is>
      </c>
      <c r="W24">
        <f>HYPERLINK("https://klasma.github.io/Logging_1883/artfynd/A 28474-2023 artfynd.xlsx", "A 28474-2023")</f>
        <v/>
      </c>
      <c r="X24">
        <f>HYPERLINK("https://klasma.github.io/Logging_1883/kartor/A 28474-2023 karta.png", "A 28474-2023")</f>
        <v/>
      </c>
      <c r="Y24">
        <f>HYPERLINK("https://klasma.github.io/Logging_1883/kartor_geotiff/A 28474-2023 georefererad karta.tif", "A 28474-2023")</f>
        <v/>
      </c>
      <c r="AA24">
        <f>HYPERLINK("https://klasma.github.io/Logging_1883/klagomål/A 28474-2023 FSC-klagomål.docx", "A 28474-2023")</f>
        <v/>
      </c>
      <c r="AB24">
        <f>HYPERLINK("https://klasma.github.io/Logging_1883/klagomålsmail/A 28474-2023 FSC-klagomål mail.docx", "A 28474-2023")</f>
        <v/>
      </c>
      <c r="AC24">
        <f>HYPERLINK("https://klasma.github.io/Logging_1883/tillsyn/A 28474-2023 tillsynsbegäran.docx", "A 28474-2023")</f>
        <v/>
      </c>
      <c r="AD24">
        <f>HYPERLINK("https://klasma.github.io/Logging_1883/tillsynsmail/A 28474-2023 tillsynsbegäran mail.docx", "A 28474-2023")</f>
        <v/>
      </c>
      <c r="AE24">
        <f>HYPERLINK("https://klasma.github.io/Logging_1883/fåglar/A 28474-2023 prioriterade fågelarter.docx", "A 28474-2023")</f>
        <v/>
      </c>
    </row>
    <row r="25" ht="15" customHeight="1">
      <c r="A25" t="inlineStr">
        <is>
          <t>A 58091-2022</t>
        </is>
      </c>
      <c r="B25" t="inlineStr">
        <is>
          <t>avverkningsanmälan</t>
        </is>
      </c>
      <c r="C25" t="inlineStr">
        <is>
          <t>Föryngringsavverkning</t>
        </is>
      </c>
      <c r="D25" s="1" t="n">
        <v>44900</v>
      </c>
      <c r="E25" s="1" t="n">
        <v>46310</v>
      </c>
      <c r="F25" t="inlineStr">
        <is>
          <t>ÖREBRO LÄN</t>
        </is>
      </c>
      <c r="G25" t="inlineStr">
        <is>
          <t>KARLSKOGA</t>
        </is>
      </c>
      <c r="H25" t="inlineStr">
        <is>
          <t>Sveaskog</t>
        </is>
      </c>
      <c r="I25" t="n">
        <v>2.1</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58091-2022 artfynd.xlsx", "A 58091-2022")</f>
        <v/>
      </c>
      <c r="X25">
        <f>HYPERLINK("https://klasma.github.io/Logging_1883/kartor/A 58091-2022 karta.png", "A 58091-2022")</f>
        <v/>
      </c>
      <c r="Y25">
        <f>HYPERLINK("https://klasma.github.io/Logging_1883/kartor_geotiff/A 58091-2022 georefererad karta.tif", "A 58091-2022")</f>
        <v/>
      </c>
      <c r="AA25">
        <f>HYPERLINK("https://klasma.github.io/Logging_1883/klagomål/A 58091-2022 FSC-klagomål.docx", "A 58091-2022")</f>
        <v/>
      </c>
      <c r="AB25">
        <f>HYPERLINK("https://klasma.github.io/Logging_1883/klagomålsmail/A 58091-2022 FSC-klagomål mail.docx", "A 58091-2022")</f>
        <v/>
      </c>
      <c r="AC25">
        <f>HYPERLINK("https://klasma.github.io/Logging_1883/tillsyn/A 58091-2022 tillsynsbegäran.docx", "A 58091-2022")</f>
        <v/>
      </c>
      <c r="AD25">
        <f>HYPERLINK("https://klasma.github.io/Logging_1883/tillsynsmail/A 58091-2022 tillsynsbegäran mail.docx", "A 58091-2022")</f>
        <v/>
      </c>
    </row>
    <row r="26" ht="15" customHeight="1">
      <c r="A26" t="inlineStr">
        <is>
          <t>A 25093-2026</t>
        </is>
      </c>
      <c r="B26" t="inlineStr">
        <is>
          <t>avverkningsanmälan</t>
        </is>
      </c>
      <c r="C26" t="inlineStr">
        <is>
          <t>Föryngringsavverkning</t>
        </is>
      </c>
      <c r="D26" s="1" t="n">
        <v>46175</v>
      </c>
      <c r="E26" s="1" t="n">
        <v>46310</v>
      </c>
      <c r="F26" t="inlineStr">
        <is>
          <t>ÖREBRO LÄN</t>
        </is>
      </c>
      <c r="G26" t="inlineStr">
        <is>
          <t>KARLSKOGA</t>
        </is>
      </c>
      <c r="H26" t="inlineStr">
        <is>
          <t>Sveaskog</t>
        </is>
      </c>
      <c r="I26" t="n">
        <v>4</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HYPERLINK("https://klasma.github.io/Logging_1883/artfynd/A 25093-2026 artfynd.xlsx", "A 25093-2026")</f>
        <v/>
      </c>
      <c r="X26">
        <f>HYPERLINK("https://klasma.github.io/Logging_1883/kartor/A 25093-2026 karta.png", "A 25093-2026")</f>
        <v/>
      </c>
      <c r="Y26">
        <f>HYPERLINK("https://klasma.github.io/Logging_1883/kartor_geotiff/A 25093-2026 georefererad karta.tif", "A 25093-2026")</f>
        <v/>
      </c>
      <c r="AA26">
        <f>HYPERLINK("https://klasma.github.io/Logging_1883/klagomål/A 25093-2026 FSC-klagomål.docx", "A 25093-2026")</f>
        <v/>
      </c>
      <c r="AB26">
        <f>HYPERLINK("https://klasma.github.io/Logging_1883/klagomålsmail/A 25093-2026 FSC-klagomål mail.docx", "A 25093-2026")</f>
        <v/>
      </c>
      <c r="AC26">
        <f>HYPERLINK("https://klasma.github.io/Logging_1883/tillsyn/A 25093-2026 tillsynsbegäran.docx", "A 25093-2026")</f>
        <v/>
      </c>
      <c r="AD26">
        <f>HYPERLINK("https://klasma.github.io/Logging_1883/tillsynsmail/A 25093-2026 tillsynsbegäran mail.docx", "A 25093-2026")</f>
        <v/>
      </c>
    </row>
    <row r="27" ht="15" customHeight="1">
      <c r="A27" t="inlineStr">
        <is>
          <t>A 28566-2024</t>
        </is>
      </c>
      <c r="B27" t="inlineStr">
        <is>
          <t>avverkningsanmälan</t>
        </is>
      </c>
      <c r="C27" t="inlineStr">
        <is>
          <t>Föryngringsavverkning</t>
        </is>
      </c>
      <c r="D27" s="1" t="n">
        <v>45478</v>
      </c>
      <c r="E27" s="1" t="n">
        <v>46310</v>
      </c>
      <c r="F27" t="inlineStr">
        <is>
          <t>ÖREBRO LÄN</t>
        </is>
      </c>
      <c r="G27" t="inlineStr">
        <is>
          <t>KARLSKOGA</t>
        </is>
      </c>
      <c r="I27" t="n">
        <v>1</v>
      </c>
      <c r="J27" t="n">
        <v>1</v>
      </c>
      <c r="K27" t="n">
        <v>0</v>
      </c>
      <c r="L27" t="n">
        <v>0</v>
      </c>
      <c r="M27" t="n">
        <v>0</v>
      </c>
      <c r="N27" t="n">
        <v>0</v>
      </c>
      <c r="O27" t="n">
        <v>0</v>
      </c>
      <c r="P27" t="n">
        <v>0</v>
      </c>
      <c r="Q27" t="n">
        <v>0</v>
      </c>
      <c r="R27" t="n">
        <v>0</v>
      </c>
      <c r="S27" t="n">
        <v>1</v>
      </c>
      <c r="T27" t="n">
        <v>1</v>
      </c>
      <c r="U27" t="n">
        <v>1</v>
      </c>
      <c r="V27" s="2" t="inlineStr">
        <is>
          <t>Ärtsångare</t>
        </is>
      </c>
      <c r="W27">
        <f>HYPERLINK("https://klasma.github.io/Logging_1883/artfynd/A 28566-2024 artfynd.xlsx", "A 28566-2024")</f>
        <v/>
      </c>
      <c r="X27">
        <f>HYPERLINK("https://klasma.github.io/Logging_1883/kartor/A 28566-2024 karta.png", "A 28566-2024")</f>
        <v/>
      </c>
      <c r="Y27">
        <f>HYPERLINK("https://klasma.github.io/Logging_1883/kartor_geotiff/A 28566-2024 georefererad karta.tif", "A 28566-2024")</f>
        <v/>
      </c>
      <c r="AA27">
        <f>HYPERLINK("https://klasma.github.io/Logging_1883/klagomål/A 28566-2024 FSC-klagomål.docx", "A 28566-2024")</f>
        <v/>
      </c>
      <c r="AB27">
        <f>HYPERLINK("https://klasma.github.io/Logging_1883/klagomålsmail/A 28566-2024 FSC-klagomål mail.docx", "A 28566-2024")</f>
        <v/>
      </c>
      <c r="AC27">
        <f>HYPERLINK("https://klasma.github.io/Logging_1883/tillsyn/A 28566-2024 tillsynsbegäran.docx", "A 28566-2024")</f>
        <v/>
      </c>
      <c r="AD27">
        <f>HYPERLINK("https://klasma.github.io/Logging_1883/tillsynsmail/A 28566-2024 tillsynsbegäran mail.docx", "A 28566-2024")</f>
        <v/>
      </c>
    </row>
    <row r="28" ht="15" customHeight="1">
      <c r="A28" t="inlineStr">
        <is>
          <t>A 30915-2026</t>
        </is>
      </c>
      <c r="B28" t="inlineStr">
        <is>
          <t>avverkningsanmälan</t>
        </is>
      </c>
      <c r="C28" t="inlineStr">
        <is>
          <t>Föryngringsavverkning</t>
        </is>
      </c>
      <c r="D28" s="1" t="n">
        <v>46213</v>
      </c>
      <c r="E28" s="1" t="n">
        <v>46310</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40528-2024</t>
        </is>
      </c>
      <c r="B29" t="inlineStr">
        <is>
          <t>avverkningsanmälan</t>
        </is>
      </c>
      <c r="C29" t="inlineStr">
        <is>
          <t>Föryngringsavverkning</t>
        </is>
      </c>
      <c r="D29" s="1" t="n">
        <v>45555</v>
      </c>
      <c r="E29" s="1" t="n">
        <v>46310</v>
      </c>
      <c r="F29" t="inlineStr">
        <is>
          <t>ÖREBRO LÄN</t>
        </is>
      </c>
      <c r="G29" t="inlineStr">
        <is>
          <t>KARLSKOGA</t>
        </is>
      </c>
      <c r="I29" t="n">
        <v>2.8</v>
      </c>
      <c r="J29" t="n">
        <v>1</v>
      </c>
      <c r="K29" t="n">
        <v>0</v>
      </c>
      <c r="L29" t="n">
        <v>0</v>
      </c>
      <c r="M29" t="n">
        <v>0</v>
      </c>
      <c r="N29" t="n">
        <v>0</v>
      </c>
      <c r="O29" t="n">
        <v>0</v>
      </c>
      <c r="P29" t="n">
        <v>0</v>
      </c>
      <c r="Q29" t="n">
        <v>0</v>
      </c>
      <c r="R29" t="n">
        <v>0</v>
      </c>
      <c r="S29" t="n">
        <v>1</v>
      </c>
      <c r="T29" t="n">
        <v>1</v>
      </c>
      <c r="U29" t="n">
        <v>1</v>
      </c>
      <c r="V29" s="2" t="inlineStr">
        <is>
          <t>Mattlummer</t>
        </is>
      </c>
      <c r="W29">
        <f>HYPERLINK("https://klasma.github.io/Logging_1883/artfynd/A 40528-2024 artfynd.xlsx", "A 40528-2024")</f>
        <v/>
      </c>
      <c r="X29">
        <f>HYPERLINK("https://klasma.github.io/Logging_1883/kartor/A 40528-2024 karta.png", "A 40528-2024")</f>
        <v/>
      </c>
      <c r="Y29">
        <f>HYPERLINK("https://klasma.github.io/Logging_1883/kartor_geotiff/A 40528-2024 georefererad karta.tif", "A 40528-2024")</f>
        <v/>
      </c>
      <c r="AA29">
        <f>HYPERLINK("https://klasma.github.io/Logging_1883/klagomål/A 40528-2024 FSC-klagomål.docx", "A 40528-2024")</f>
        <v/>
      </c>
      <c r="AB29">
        <f>HYPERLINK("https://klasma.github.io/Logging_1883/klagomålsmail/A 40528-2024 FSC-klagomål mail.docx", "A 40528-2024")</f>
        <v/>
      </c>
      <c r="AC29">
        <f>HYPERLINK("https://klasma.github.io/Logging_1883/tillsyn/A 40528-2024 tillsynsbegäran.docx", "A 40528-2024")</f>
        <v/>
      </c>
      <c r="AD29">
        <f>HYPERLINK("https://klasma.github.io/Logging_1883/tillsynsmail/A 40528-2024 tillsynsbegäran mail.docx", "A 40528-2024")</f>
        <v/>
      </c>
    </row>
    <row r="30" ht="15" customHeight="1">
      <c r="A30" t="inlineStr">
        <is>
          <t>A 35199-2026</t>
        </is>
      </c>
      <c r="B30" t="inlineStr">
        <is>
          <t>avverkningsanmälan</t>
        </is>
      </c>
      <c r="C30" t="inlineStr">
        <is>
          <t>Föryngringsavverkning</t>
        </is>
      </c>
      <c r="D30" s="1" t="n">
        <v>46260</v>
      </c>
      <c r="E30" s="1" t="n">
        <v>46310</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72803-2021</t>
        </is>
      </c>
      <c r="B31" t="inlineStr">
        <is>
          <t>avverkningsanmälan</t>
        </is>
      </c>
      <c r="C31" t="inlineStr">
        <is>
          <t>Föryngringsavverkning</t>
        </is>
      </c>
      <c r="D31" s="1" t="n">
        <v>44546</v>
      </c>
      <c r="E31" s="1" t="n">
        <v>46310</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46310</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22861-2022</t>
        </is>
      </c>
      <c r="B33" t="inlineStr">
        <is>
          <t>avverkningsanmälan</t>
        </is>
      </c>
      <c r="C33" t="inlineStr">
        <is>
          <t>Föryngringsavverkning</t>
        </is>
      </c>
      <c r="D33" s="1" t="n">
        <v>44715</v>
      </c>
      <c r="E33" s="1" t="n">
        <v>46310</v>
      </c>
      <c r="F33" t="inlineStr">
        <is>
          <t>ÖREBRO LÄN</t>
        </is>
      </c>
      <c r="G33" t="inlineStr">
        <is>
          <t>KARLSKOGA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46310</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46310</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46310</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46310</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11081-2022</t>
        </is>
      </c>
      <c r="B38" t="inlineStr">
        <is>
          <t>avverkningsanmälan</t>
        </is>
      </c>
      <c r="C38" t="inlineStr">
        <is>
          <t>Avverkning för annat ändamål</t>
        </is>
      </c>
      <c r="D38" s="1" t="n">
        <v>44628</v>
      </c>
      <c r="E38" s="1" t="n">
        <v>46310</v>
      </c>
      <c r="F38" t="inlineStr">
        <is>
          <t>ÖREBRO LÄN</t>
        </is>
      </c>
      <c r="G38" t="inlineStr">
        <is>
          <t>KARLSKOGA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31921-2022</t>
        </is>
      </c>
      <c r="B39" t="inlineStr">
        <is>
          <t>avverkningsanmälan</t>
        </is>
      </c>
      <c r="C39" t="inlineStr">
        <is>
          <t>Föryngringsavverkning</t>
        </is>
      </c>
      <c r="D39" s="1" t="n">
        <v>44777</v>
      </c>
      <c r="E39" s="1" t="n">
        <v>46310</v>
      </c>
      <c r="F39" t="inlineStr">
        <is>
          <t>ÖREBRO LÄN</t>
        </is>
      </c>
      <c r="G39" t="inlineStr">
        <is>
          <t>KARLSKOGA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37584-2022</t>
        </is>
      </c>
      <c r="B40" t="inlineStr">
        <is>
          <t>avverkningsanmälan</t>
        </is>
      </c>
      <c r="C40" t="inlineStr">
        <is>
          <t>Föryngringsavverkning</t>
        </is>
      </c>
      <c r="D40" s="1" t="n">
        <v>44809</v>
      </c>
      <c r="E40" s="1" t="n">
        <v>46310</v>
      </c>
      <c r="F40" t="inlineStr">
        <is>
          <t>ÖREBRO LÄN</t>
        </is>
      </c>
      <c r="G40" t="inlineStr">
        <is>
          <t>KARLSKOGA</t>
        </is>
      </c>
      <c r="I40" t="n">
        <v>4.9</v>
      </c>
      <c r="J40" t="n">
        <v>0</v>
      </c>
      <c r="K40" t="n">
        <v>0</v>
      </c>
      <c r="L40" t="n">
        <v>0</v>
      </c>
      <c r="M40" t="n">
        <v>0</v>
      </c>
      <c r="N40" t="n">
        <v>0</v>
      </c>
      <c r="O40" t="n">
        <v>0</v>
      </c>
      <c r="P40" t="n">
        <v>0</v>
      </c>
      <c r="Q40" t="n">
        <v>0</v>
      </c>
      <c r="R40" t="n">
        <v>0</v>
      </c>
      <c r="S40" t="n">
        <v>0</v>
      </c>
      <c r="T40" t="n">
        <v>0</v>
      </c>
      <c r="U40" t="n">
        <v>0</v>
      </c>
      <c r="V40" s="2" t="inlineStr"/>
    </row>
    <row r="41" ht="15" customHeight="1">
      <c r="A41" t="inlineStr">
        <is>
          <t>A 43075-2023</t>
        </is>
      </c>
      <c r="B41" t="inlineStr">
        <is>
          <t>avverkningsanmälan</t>
        </is>
      </c>
      <c r="C41" t="inlineStr">
        <is>
          <t>Föryngringsavverkning</t>
        </is>
      </c>
      <c r="D41" s="1" t="n">
        <v>45182</v>
      </c>
      <c r="E41" s="1" t="n">
        <v>46310</v>
      </c>
      <c r="F41" t="inlineStr">
        <is>
          <t>ÖREBRO LÄN</t>
        </is>
      </c>
      <c r="G41" t="inlineStr">
        <is>
          <t>KARLSKOGA</t>
        </is>
      </c>
      <c r="I41" t="n">
        <v>3.1</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46310</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46310</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47196-2023</t>
        </is>
      </c>
      <c r="B44" t="inlineStr">
        <is>
          <t>avverkningsanmälan</t>
        </is>
      </c>
      <c r="C44" t="inlineStr">
        <is>
          <t>Föryngringsavverkning</t>
        </is>
      </c>
      <c r="D44" s="1" t="n">
        <v>45196</v>
      </c>
      <c r="E44" s="1" t="n">
        <v>46310</v>
      </c>
      <c r="F44" t="inlineStr">
        <is>
          <t>ÖREBRO LÄN</t>
        </is>
      </c>
      <c r="G44" t="inlineStr">
        <is>
          <t>KARLSKOGA</t>
        </is>
      </c>
      <c r="I44" t="n">
        <v>5.9</v>
      </c>
      <c r="J44" t="n">
        <v>0</v>
      </c>
      <c r="K44" t="n">
        <v>0</v>
      </c>
      <c r="L44" t="n">
        <v>0</v>
      </c>
      <c r="M44" t="n">
        <v>0</v>
      </c>
      <c r="N44" t="n">
        <v>0</v>
      </c>
      <c r="O44" t="n">
        <v>0</v>
      </c>
      <c r="P44" t="n">
        <v>0</v>
      </c>
      <c r="Q44" t="n">
        <v>0</v>
      </c>
      <c r="R44" t="n">
        <v>0</v>
      </c>
      <c r="S44" t="n">
        <v>0</v>
      </c>
      <c r="T44" t="n">
        <v>0</v>
      </c>
      <c r="U44" t="n">
        <v>0</v>
      </c>
      <c r="V44" s="2" t="inlineStr"/>
    </row>
    <row r="45" ht="15" customHeight="1">
      <c r="A45" t="inlineStr">
        <is>
          <t>A 39027-2022</t>
        </is>
      </c>
      <c r="B45" t="inlineStr">
        <is>
          <t>avverkningsanmälan</t>
        </is>
      </c>
      <c r="C45" t="inlineStr">
        <is>
          <t>Föryngringsavverkning</t>
        </is>
      </c>
      <c r="D45" s="1" t="n">
        <v>44817</v>
      </c>
      <c r="E45" s="1" t="n">
        <v>46310</v>
      </c>
      <c r="F45" t="inlineStr">
        <is>
          <t>ÖREBRO LÄN</t>
        </is>
      </c>
      <c r="G45" t="inlineStr">
        <is>
          <t>KARLSKOGA</t>
        </is>
      </c>
      <c r="H45" t="inlineStr">
        <is>
          <t>Sveaskog</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13454-2022</t>
        </is>
      </c>
      <c r="B46" t="inlineStr">
        <is>
          <t>avverkningsanmälan</t>
        </is>
      </c>
      <c r="C46" t="inlineStr">
        <is>
          <t>Föryngringsavverkning</t>
        </is>
      </c>
      <c r="D46" s="1" t="n">
        <v>44645</v>
      </c>
      <c r="E46" s="1" t="n">
        <v>46310</v>
      </c>
      <c r="F46" t="inlineStr">
        <is>
          <t>ÖREBRO LÄN</t>
        </is>
      </c>
      <c r="G46" t="inlineStr">
        <is>
          <t>KARLSKOGA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58390-2024</t>
        </is>
      </c>
      <c r="B47" t="inlineStr">
        <is>
          <t>avverkningsanmälan</t>
        </is>
      </c>
      <c r="C47" t="inlineStr">
        <is>
          <t>Föryngringsavverkning</t>
        </is>
      </c>
      <c r="D47" s="1" t="n">
        <v>45633</v>
      </c>
      <c r="E47" s="1" t="n">
        <v>46310</v>
      </c>
      <c r="F47" t="inlineStr">
        <is>
          <t>ÖREBRO LÄN</t>
        </is>
      </c>
      <c r="G47" t="inlineStr">
        <is>
          <t>KARLSKOGA</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4164-2022</t>
        </is>
      </c>
      <c r="B48" t="inlineStr">
        <is>
          <t>avverkningsanmälan</t>
        </is>
      </c>
      <c r="C48" t="inlineStr">
        <is>
          <t>Föryngringsavverkning</t>
        </is>
      </c>
      <c r="D48" s="1" t="n">
        <v>44588</v>
      </c>
      <c r="E48" s="1" t="n">
        <v>46310</v>
      </c>
      <c r="F48" t="inlineStr">
        <is>
          <t>ÖREBRO LÄN</t>
        </is>
      </c>
      <c r="G48" t="inlineStr">
        <is>
          <t>KARLSKOGA</t>
        </is>
      </c>
      <c r="H48" t="inlineStr">
        <is>
          <t>Kommuner</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35471-2024</t>
        </is>
      </c>
      <c r="B49" t="inlineStr">
        <is>
          <t>avverkningsanmälan</t>
        </is>
      </c>
      <c r="C49" t="inlineStr">
        <is>
          <t>Föryngringsavverkning</t>
        </is>
      </c>
      <c r="D49" s="1" t="n">
        <v>45531</v>
      </c>
      <c r="E49" s="1" t="n">
        <v>46310</v>
      </c>
      <c r="F49" t="inlineStr">
        <is>
          <t>ÖREBRO LÄN</t>
        </is>
      </c>
      <c r="G49" t="inlineStr">
        <is>
          <t>KARLSKOGA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9712-2024</t>
        </is>
      </c>
      <c r="B50" t="inlineStr">
        <is>
          <t>avverkningsanmälan</t>
        </is>
      </c>
      <c r="C50" t="inlineStr">
        <is>
          <t>Föryngringsavverkning</t>
        </is>
      </c>
      <c r="D50" s="1" t="n">
        <v>45362</v>
      </c>
      <c r="E50" s="1" t="n">
        <v>46310</v>
      </c>
      <c r="F50" t="inlineStr">
        <is>
          <t>ÖREBRO LÄN</t>
        </is>
      </c>
      <c r="G50" t="inlineStr">
        <is>
          <t>KARLSKOGA</t>
        </is>
      </c>
      <c r="H50" t="inlineStr">
        <is>
          <t>Kyrkan</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27498-2025</t>
        </is>
      </c>
      <c r="B51" t="inlineStr">
        <is>
          <t>avverkningsanmälan</t>
        </is>
      </c>
      <c r="C51" t="inlineStr">
        <is>
          <t>Föryngringsavverkning</t>
        </is>
      </c>
      <c r="D51" s="1" t="n">
        <v>45813</v>
      </c>
      <c r="E51" s="1" t="n">
        <v>46310</v>
      </c>
      <c r="F51" t="inlineStr">
        <is>
          <t>ÖREBRO LÄN</t>
        </is>
      </c>
      <c r="G51" t="inlineStr">
        <is>
          <t>KARLSKOGA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24255-2024</t>
        </is>
      </c>
      <c r="B52" t="inlineStr">
        <is>
          <t>avverkningsanmälan</t>
        </is>
      </c>
      <c r="C52" t="inlineStr">
        <is>
          <t>Föryngringsavverkning</t>
        </is>
      </c>
      <c r="D52" s="1" t="n">
        <v>45457</v>
      </c>
      <c r="E52" s="1" t="n">
        <v>46310</v>
      </c>
      <c r="F52" t="inlineStr">
        <is>
          <t>ÖREBRO LÄN</t>
        </is>
      </c>
      <c r="G52" t="inlineStr">
        <is>
          <t>KARLSKOGA</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23620-2024</t>
        </is>
      </c>
      <c r="B53" t="inlineStr">
        <is>
          <t>avverkningsanmälan</t>
        </is>
      </c>
      <c r="C53" t="inlineStr">
        <is>
          <t>Föryngringsavverkning</t>
        </is>
      </c>
      <c r="D53" s="1" t="n">
        <v>45454</v>
      </c>
      <c r="E53" s="1" t="n">
        <v>46310</v>
      </c>
      <c r="F53" t="inlineStr">
        <is>
          <t>ÖREBRO LÄN</t>
        </is>
      </c>
      <c r="G53" t="inlineStr">
        <is>
          <t>KARLSKOGA</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53647-2023</t>
        </is>
      </c>
      <c r="B54" t="inlineStr">
        <is>
          <t>avverkningsanmälan</t>
        </is>
      </c>
      <c r="C54" t="inlineStr">
        <is>
          <t>Föryngringsavverkning</t>
        </is>
      </c>
      <c r="D54" s="1" t="n">
        <v>45230</v>
      </c>
      <c r="E54" s="1" t="n">
        <v>46310</v>
      </c>
      <c r="F54" t="inlineStr">
        <is>
          <t>ÖREBRO LÄN</t>
        </is>
      </c>
      <c r="G54" t="inlineStr">
        <is>
          <t>KARLSKOGA</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53618-2024</t>
        </is>
      </c>
      <c r="B55" t="inlineStr">
        <is>
          <t>avverkningsanmälan</t>
        </is>
      </c>
      <c r="C55" t="inlineStr">
        <is>
          <t>Föryngringsavverkning</t>
        </is>
      </c>
      <c r="D55" s="1" t="n">
        <v>45614</v>
      </c>
      <c r="E55" s="1" t="n">
        <v>46310</v>
      </c>
      <c r="F55" t="inlineStr">
        <is>
          <t>ÖREBRO LÄN</t>
        </is>
      </c>
      <c r="G55" t="inlineStr">
        <is>
          <t>KARLSKOGA</t>
        </is>
      </c>
      <c r="I55" t="n">
        <v>10.1</v>
      </c>
      <c r="J55" t="n">
        <v>0</v>
      </c>
      <c r="K55" t="n">
        <v>0</v>
      </c>
      <c r="L55" t="n">
        <v>0</v>
      </c>
      <c r="M55" t="n">
        <v>0</v>
      </c>
      <c r="N55" t="n">
        <v>0</v>
      </c>
      <c r="O55" t="n">
        <v>0</v>
      </c>
      <c r="P55" t="n">
        <v>0</v>
      </c>
      <c r="Q55" t="n">
        <v>0</v>
      </c>
      <c r="R55" t="n">
        <v>0</v>
      </c>
      <c r="S55" t="n">
        <v>0</v>
      </c>
      <c r="T55" t="n">
        <v>0</v>
      </c>
      <c r="U55" t="n">
        <v>0</v>
      </c>
      <c r="V55" s="2" t="inlineStr"/>
    </row>
    <row r="56" ht="15" customHeight="1">
      <c r="A56" t="inlineStr">
        <is>
          <t>A 30102-2025</t>
        </is>
      </c>
      <c r="B56" t="inlineStr">
        <is>
          <t>avverkningsanmälan</t>
        </is>
      </c>
      <c r="C56" t="inlineStr">
        <is>
          <t>Föryngringsavverkning</t>
        </is>
      </c>
      <c r="D56" s="1" t="n">
        <v>45826</v>
      </c>
      <c r="E56" s="1" t="n">
        <v>46310</v>
      </c>
      <c r="F56" t="inlineStr">
        <is>
          <t>ÖREBRO LÄN</t>
        </is>
      </c>
      <c r="G56" t="inlineStr">
        <is>
          <t>KARLSKOGA</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42804-2023</t>
        </is>
      </c>
      <c r="B57" t="inlineStr">
        <is>
          <t>avverkningsanmälan</t>
        </is>
      </c>
      <c r="C57" t="inlineStr">
        <is>
          <t>Avverkning för att bevara och utveckla /försöksver</t>
        </is>
      </c>
      <c r="D57" s="1" t="n">
        <v>45182</v>
      </c>
      <c r="E57" s="1" t="n">
        <v>46310</v>
      </c>
      <c r="F57" t="inlineStr">
        <is>
          <t>ÖREBRO LÄN</t>
        </is>
      </c>
      <c r="G57" t="inlineStr">
        <is>
          <t>KARLSKOGA</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9510-2023</t>
        </is>
      </c>
      <c r="B58" t="inlineStr">
        <is>
          <t>avverkningsanmälan</t>
        </is>
      </c>
      <c r="C58" t="inlineStr">
        <is>
          <t>Föryngringsavverkning</t>
        </is>
      </c>
      <c r="D58" s="1" t="n">
        <v>44981</v>
      </c>
      <c r="E58" s="1" t="n">
        <v>46310</v>
      </c>
      <c r="F58" t="inlineStr">
        <is>
          <t>ÖREBRO LÄN</t>
        </is>
      </c>
      <c r="G58" t="inlineStr">
        <is>
          <t>KARLSKOGA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31397-2025</t>
        </is>
      </c>
      <c r="B59" t="inlineStr">
        <is>
          <t>avverkningsanmälan</t>
        </is>
      </c>
      <c r="C59" t="inlineStr">
        <is>
          <t>Föryngringsavverkning</t>
        </is>
      </c>
      <c r="D59" s="1" t="n">
        <v>45833</v>
      </c>
      <c r="E59" s="1" t="n">
        <v>46310</v>
      </c>
      <c r="F59" t="inlineStr">
        <is>
          <t>ÖREBRO LÄN</t>
        </is>
      </c>
      <c r="G59" t="inlineStr">
        <is>
          <t>KARLSKOGA</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30961-2022</t>
        </is>
      </c>
      <c r="B60" t="inlineStr">
        <is>
          <t>avverkningsanmälan</t>
        </is>
      </c>
      <c r="C60" t="inlineStr">
        <is>
          <t>Föryngringsavverkning</t>
        </is>
      </c>
      <c r="D60" s="1" t="n">
        <v>44768</v>
      </c>
      <c r="E60" s="1" t="n">
        <v>46310</v>
      </c>
      <c r="F60" t="inlineStr">
        <is>
          <t>ÖREBRO LÄN</t>
        </is>
      </c>
      <c r="G60" t="inlineStr">
        <is>
          <t>KARLSKOGA</t>
        </is>
      </c>
      <c r="H60" t="inlineStr">
        <is>
          <t>Kommuner</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32287-2025</t>
        </is>
      </c>
      <c r="B61" t="inlineStr">
        <is>
          <t>avverkningsanmälan</t>
        </is>
      </c>
      <c r="C61" t="inlineStr">
        <is>
          <t>Föryngringsavverkning</t>
        </is>
      </c>
      <c r="D61" s="1" t="n">
        <v>45835</v>
      </c>
      <c r="E61" s="1" t="n">
        <v>46310</v>
      </c>
      <c r="F61" t="inlineStr">
        <is>
          <t>ÖREBRO LÄN</t>
        </is>
      </c>
      <c r="G61" t="inlineStr">
        <is>
          <t>KARLSKOGA</t>
        </is>
      </c>
      <c r="H61" t="inlineStr">
        <is>
          <t>Kyrkan</t>
        </is>
      </c>
      <c r="I61" t="n">
        <v>10.9</v>
      </c>
      <c r="J61" t="n">
        <v>0</v>
      </c>
      <c r="K61" t="n">
        <v>0</v>
      </c>
      <c r="L61" t="n">
        <v>0</v>
      </c>
      <c r="M61" t="n">
        <v>0</v>
      </c>
      <c r="N61" t="n">
        <v>0</v>
      </c>
      <c r="O61" t="n">
        <v>0</v>
      </c>
      <c r="P61" t="n">
        <v>0</v>
      </c>
      <c r="Q61" t="n">
        <v>0</v>
      </c>
      <c r="R61" t="n">
        <v>0</v>
      </c>
      <c r="S61" t="n">
        <v>0</v>
      </c>
      <c r="T61" t="n">
        <v>0</v>
      </c>
      <c r="U61" t="n">
        <v>0</v>
      </c>
      <c r="V61" s="2" t="inlineStr"/>
    </row>
    <row r="62" ht="15" customHeight="1">
      <c r="A62" t="inlineStr">
        <is>
          <t>A 1309-2024</t>
        </is>
      </c>
      <c r="B62" t="inlineStr">
        <is>
          <t>avverkningsanmälan</t>
        </is>
      </c>
      <c r="C62" t="inlineStr">
        <is>
          <t>Föryngringsavverkning</t>
        </is>
      </c>
      <c r="D62" s="1" t="n">
        <v>45303</v>
      </c>
      <c r="E62" s="1" t="n">
        <v>46310</v>
      </c>
      <c r="F62" t="inlineStr">
        <is>
          <t>ÖREBRO LÄN</t>
        </is>
      </c>
      <c r="G62" t="inlineStr">
        <is>
          <t>KARLSKOGA</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17815-2025</t>
        </is>
      </c>
      <c r="B63" t="inlineStr">
        <is>
          <t>avverkningsanmälan</t>
        </is>
      </c>
      <c r="C63" t="inlineStr">
        <is>
          <t>Föryngringsavverkning</t>
        </is>
      </c>
      <c r="D63" s="1" t="n">
        <v>45758</v>
      </c>
      <c r="E63" s="1" t="n">
        <v>46310</v>
      </c>
      <c r="F63" t="inlineStr">
        <is>
          <t>ÖREBRO LÄN</t>
        </is>
      </c>
      <c r="G63" t="inlineStr">
        <is>
          <t>KARLSKOGA</t>
        </is>
      </c>
      <c r="H63" t="inlineStr">
        <is>
          <t>Sveaskog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42803-2023</t>
        </is>
      </c>
      <c r="B64" t="inlineStr">
        <is>
          <t>avverkningsanmälan</t>
        </is>
      </c>
      <c r="C64" t="inlineStr">
        <is>
          <t>Avverkning för att bevara och utveckla /försöksver</t>
        </is>
      </c>
      <c r="D64" s="1" t="n">
        <v>45182</v>
      </c>
      <c r="E64" s="1" t="n">
        <v>46310</v>
      </c>
      <c r="F64" t="inlineStr">
        <is>
          <t>ÖREBRO LÄN</t>
        </is>
      </c>
      <c r="G64" t="inlineStr">
        <is>
          <t>KARLSKOGA</t>
        </is>
      </c>
      <c r="H64" t="inlineStr">
        <is>
          <t>Sveaskog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8803-2025</t>
        </is>
      </c>
      <c r="B65" t="inlineStr">
        <is>
          <t>avverkningsanmälan</t>
        </is>
      </c>
      <c r="C65" t="inlineStr">
        <is>
          <t>Föryngringsavverkning</t>
        </is>
      </c>
      <c r="D65" s="1" t="n">
        <v>45712</v>
      </c>
      <c r="E65" s="1" t="n">
        <v>46310</v>
      </c>
      <c r="F65" t="inlineStr">
        <is>
          <t>ÖREBRO LÄN</t>
        </is>
      </c>
      <c r="G65" t="inlineStr">
        <is>
          <t>KARLSKOGA</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35444-2024</t>
        </is>
      </c>
      <c r="B66" t="inlineStr">
        <is>
          <t>avverkningsanmälan</t>
        </is>
      </c>
      <c r="C66" t="inlineStr">
        <is>
          <t>Föryngringsavverkning</t>
        </is>
      </c>
      <c r="D66" s="1" t="n">
        <v>45531</v>
      </c>
      <c r="E66" s="1" t="n">
        <v>46310</v>
      </c>
      <c r="F66" t="inlineStr">
        <is>
          <t>ÖREBRO LÄN</t>
        </is>
      </c>
      <c r="G66" t="inlineStr">
        <is>
          <t>KARLSKOGA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44946-2025</t>
        </is>
      </c>
      <c r="B67" t="inlineStr">
        <is>
          <t>avverkningsanmälan</t>
        </is>
      </c>
      <c r="C67" t="inlineStr">
        <is>
          <t>Föryngringsavverkning</t>
        </is>
      </c>
      <c r="D67" s="1" t="n">
        <v>45918</v>
      </c>
      <c r="E67" s="1" t="n">
        <v>46310</v>
      </c>
      <c r="F67" t="inlineStr">
        <is>
          <t>ÖREBRO LÄN</t>
        </is>
      </c>
      <c r="G67" t="inlineStr">
        <is>
          <t>KARLSKOGA</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44949-2025</t>
        </is>
      </c>
      <c r="B68" t="inlineStr">
        <is>
          <t>avverkningsanmälan</t>
        </is>
      </c>
      <c r="C68" t="inlineStr">
        <is>
          <t>Föryngringsavverkning</t>
        </is>
      </c>
      <c r="D68" s="1" t="n">
        <v>45918</v>
      </c>
      <c r="E68" s="1" t="n">
        <v>46310</v>
      </c>
      <c r="F68" t="inlineStr">
        <is>
          <t>ÖREBRO LÄN</t>
        </is>
      </c>
      <c r="G68" t="inlineStr">
        <is>
          <t>KARLSKOGA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23263-2022</t>
        </is>
      </c>
      <c r="B69" t="inlineStr">
        <is>
          <t>avverkningsanmälan</t>
        </is>
      </c>
      <c r="C69" t="inlineStr">
        <is>
          <t>Föryngringsavverkning</t>
        </is>
      </c>
      <c r="D69" s="1" t="n">
        <v>44720</v>
      </c>
      <c r="E69" s="1" t="n">
        <v>46310</v>
      </c>
      <c r="F69" t="inlineStr">
        <is>
          <t>ÖREBRO LÄN</t>
        </is>
      </c>
      <c r="G69" t="inlineStr">
        <is>
          <t>KARLSKOGA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47201-2023</t>
        </is>
      </c>
      <c r="B70" t="inlineStr">
        <is>
          <t>avverkningsanmälan</t>
        </is>
      </c>
      <c r="C70" t="inlineStr">
        <is>
          <t>Föryngringsavverkning</t>
        </is>
      </c>
      <c r="D70" s="1" t="n">
        <v>45196</v>
      </c>
      <c r="E70" s="1" t="n">
        <v>46310</v>
      </c>
      <c r="F70" t="inlineStr">
        <is>
          <t>ÖREBRO LÄN</t>
        </is>
      </c>
      <c r="G70" t="inlineStr">
        <is>
          <t>KARLSKOGA</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61396-2023</t>
        </is>
      </c>
      <c r="B71" t="inlineStr">
        <is>
          <t>avverkningsanmälan</t>
        </is>
      </c>
      <c r="C71" t="inlineStr">
        <is>
          <t>Föryngringsavverkning</t>
        </is>
      </c>
      <c r="D71" s="1" t="n">
        <v>45264</v>
      </c>
      <c r="E71" s="1" t="n">
        <v>46310</v>
      </c>
      <c r="F71" t="inlineStr">
        <is>
          <t>ÖREBRO LÄN</t>
        </is>
      </c>
      <c r="G71" t="inlineStr">
        <is>
          <t>KARLSKOGA</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8259-2025</t>
        </is>
      </c>
      <c r="B72" t="inlineStr">
        <is>
          <t>avverkningsanmälan</t>
        </is>
      </c>
      <c r="C72" t="inlineStr">
        <is>
          <t>Föryngringsavverkning</t>
        </is>
      </c>
      <c r="D72" s="1" t="n">
        <v>45708</v>
      </c>
      <c r="E72" s="1" t="n">
        <v>46310</v>
      </c>
      <c r="F72" t="inlineStr">
        <is>
          <t>ÖREBRO LÄN</t>
        </is>
      </c>
      <c r="G72" t="inlineStr">
        <is>
          <t>KARLSKOGA</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24116-2024</t>
        </is>
      </c>
      <c r="B73" t="inlineStr">
        <is>
          <t>avverkningsanmälan</t>
        </is>
      </c>
      <c r="C73" t="inlineStr">
        <is>
          <t>Föryngringsavverkning</t>
        </is>
      </c>
      <c r="D73" s="1" t="n">
        <v>45456</v>
      </c>
      <c r="E73" s="1" t="n">
        <v>46310</v>
      </c>
      <c r="F73" t="inlineStr">
        <is>
          <t>ÖREBRO LÄN</t>
        </is>
      </c>
      <c r="G73" t="inlineStr">
        <is>
          <t>KARLSKOGA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9917-2026</t>
        </is>
      </c>
      <c r="B74" t="inlineStr">
        <is>
          <t>avverkningsanmälan</t>
        </is>
      </c>
      <c r="C74" t="inlineStr">
        <is>
          <t>Föryngringsavverkning</t>
        </is>
      </c>
      <c r="D74" s="1" t="n">
        <v>46073</v>
      </c>
      <c r="E74" s="1" t="n">
        <v>46310</v>
      </c>
      <c r="F74" t="inlineStr">
        <is>
          <t>ÖREBRO LÄN</t>
        </is>
      </c>
      <c r="G74" t="inlineStr">
        <is>
          <t>KARLSKOGA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35930-2023</t>
        </is>
      </c>
      <c r="B75" t="inlineStr">
        <is>
          <t>avverkningsanmälan</t>
        </is>
      </c>
      <c r="C75" t="inlineStr">
        <is>
          <t>Föryngringsavverkning</t>
        </is>
      </c>
      <c r="D75" s="1" t="n">
        <v>45148</v>
      </c>
      <c r="E75" s="1" t="n">
        <v>46310</v>
      </c>
      <c r="F75" t="inlineStr">
        <is>
          <t>ÖREBRO LÄN</t>
        </is>
      </c>
      <c r="G75" t="inlineStr">
        <is>
          <t>KARLSKOGA</t>
        </is>
      </c>
      <c r="H75" t="inlineStr">
        <is>
          <t>Sveaskog</t>
        </is>
      </c>
      <c r="I75" t="n">
        <v>5.2</v>
      </c>
      <c r="J75" t="n">
        <v>0</v>
      </c>
      <c r="K75" t="n">
        <v>0</v>
      </c>
      <c r="L75" t="n">
        <v>0</v>
      </c>
      <c r="M75" t="n">
        <v>0</v>
      </c>
      <c r="N75" t="n">
        <v>0</v>
      </c>
      <c r="O75" t="n">
        <v>0</v>
      </c>
      <c r="P75" t="n">
        <v>0</v>
      </c>
      <c r="Q75" t="n">
        <v>0</v>
      </c>
      <c r="R75" t="n">
        <v>0</v>
      </c>
      <c r="S75" t="n">
        <v>0</v>
      </c>
      <c r="T75" t="n">
        <v>0</v>
      </c>
      <c r="U75" t="n">
        <v>0</v>
      </c>
      <c r="V75" s="2" t="inlineStr"/>
    </row>
    <row r="76" ht="15" customHeight="1">
      <c r="A76" t="inlineStr">
        <is>
          <t>A 50958-2025</t>
        </is>
      </c>
      <c r="B76" t="inlineStr">
        <is>
          <t>avverkningsanmälan</t>
        </is>
      </c>
      <c r="C76" t="inlineStr">
        <is>
          <t>Föryngringsavverkning</t>
        </is>
      </c>
      <c r="D76" s="1" t="n">
        <v>45946</v>
      </c>
      <c r="E76" s="1" t="n">
        <v>46310</v>
      </c>
      <c r="F76" t="inlineStr">
        <is>
          <t>ÖREBRO LÄN</t>
        </is>
      </c>
      <c r="G76" t="inlineStr">
        <is>
          <t>KARLSKOGA</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56313-2024</t>
        </is>
      </c>
      <c r="B77" t="inlineStr">
        <is>
          <t>avverkningsanmälan</t>
        </is>
      </c>
      <c r="C77" t="inlineStr">
        <is>
          <t>Föryngringsavverkning</t>
        </is>
      </c>
      <c r="D77" s="1" t="n">
        <v>45624</v>
      </c>
      <c r="E77" s="1" t="n">
        <v>46310</v>
      </c>
      <c r="F77" t="inlineStr">
        <is>
          <t>ÖREBRO LÄN</t>
        </is>
      </c>
      <c r="G77" t="inlineStr">
        <is>
          <t>KARLSKOGA</t>
        </is>
      </c>
      <c r="H77" t="inlineStr">
        <is>
          <t>Kyrkan</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63863-2023</t>
        </is>
      </c>
      <c r="B78" t="inlineStr">
        <is>
          <t>avverkningsanmälan</t>
        </is>
      </c>
      <c r="C78" t="inlineStr">
        <is>
          <t>Föryngringsavverkning</t>
        </is>
      </c>
      <c r="D78" s="1" t="n">
        <v>45278</v>
      </c>
      <c r="E78" s="1" t="n">
        <v>46310</v>
      </c>
      <c r="F78" t="inlineStr">
        <is>
          <t>ÖREBRO LÄN</t>
        </is>
      </c>
      <c r="G78" t="inlineStr">
        <is>
          <t>KARLSKOGA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10743-2023</t>
        </is>
      </c>
      <c r="B79" t="inlineStr">
        <is>
          <t>avverkningsanmälan</t>
        </is>
      </c>
      <c r="C79" t="inlineStr">
        <is>
          <t>Föryngringsavverkning</t>
        </is>
      </c>
      <c r="D79" s="1" t="n">
        <v>44988</v>
      </c>
      <c r="E79" s="1" t="n">
        <v>46310</v>
      </c>
      <c r="F79" t="inlineStr">
        <is>
          <t>ÖREBRO LÄN</t>
        </is>
      </c>
      <c r="G79" t="inlineStr">
        <is>
          <t>KARLSKOGA</t>
        </is>
      </c>
      <c r="H79" t="inlineStr">
        <is>
          <t>Kyrkan</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14215-2024</t>
        </is>
      </c>
      <c r="B80" t="inlineStr">
        <is>
          <t>avverkningsanmälan</t>
        </is>
      </c>
      <c r="C80" t="inlineStr">
        <is>
          <t>Föryngringsavverkning</t>
        </is>
      </c>
      <c r="D80" s="1" t="n">
        <v>45393</v>
      </c>
      <c r="E80" s="1" t="n">
        <v>46310</v>
      </c>
      <c r="F80" t="inlineStr">
        <is>
          <t>ÖREBRO LÄN</t>
        </is>
      </c>
      <c r="G80" t="inlineStr">
        <is>
          <t>KARLSKOGA</t>
        </is>
      </c>
      <c r="H80" t="inlineStr">
        <is>
          <t>Kommuner</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55191-2023</t>
        </is>
      </c>
      <c r="B81" t="inlineStr">
        <is>
          <t>avverkningsanmälan</t>
        </is>
      </c>
      <c r="C81" t="inlineStr">
        <is>
          <t>Föryngringsavverkning</t>
        </is>
      </c>
      <c r="D81" s="1" t="n">
        <v>45237</v>
      </c>
      <c r="E81" s="1" t="n">
        <v>46310</v>
      </c>
      <c r="F81" t="inlineStr">
        <is>
          <t>ÖREBRO LÄN</t>
        </is>
      </c>
      <c r="G81" t="inlineStr">
        <is>
          <t>KARLSKOGA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13473-2026</t>
        </is>
      </c>
      <c r="B82" t="inlineStr">
        <is>
          <t>avverkningsanmälan</t>
        </is>
      </c>
      <c r="C82" t="inlineStr">
        <is>
          <t>Föryngringsavverkning</t>
        </is>
      </c>
      <c r="D82" s="1" t="n">
        <v>46094</v>
      </c>
      <c r="E82" s="1" t="n">
        <v>46310</v>
      </c>
      <c r="F82" t="inlineStr">
        <is>
          <t>ÖREBRO LÄN</t>
        </is>
      </c>
      <c r="G82" t="inlineStr">
        <is>
          <t>KARLSKOGA</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55025-2025</t>
        </is>
      </c>
      <c r="B83" t="inlineStr">
        <is>
          <t>avverkningsanmälan</t>
        </is>
      </c>
      <c r="C83" t="inlineStr">
        <is>
          <t>Föryngringsavverkning</t>
        </is>
      </c>
      <c r="D83" s="1" t="n">
        <v>45967</v>
      </c>
      <c r="E83" s="1" t="n">
        <v>46310</v>
      </c>
      <c r="F83" t="inlineStr">
        <is>
          <t>ÖREBRO LÄN</t>
        </is>
      </c>
      <c r="G83" t="inlineStr">
        <is>
          <t>KARLSKOGA</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59025-2024</t>
        </is>
      </c>
      <c r="B84" t="inlineStr">
        <is>
          <t>avverkningsanmälan</t>
        </is>
      </c>
      <c r="C84" t="inlineStr">
        <is>
          <t>Föryngringsavverkning</t>
        </is>
      </c>
      <c r="D84" s="1" t="n">
        <v>45636</v>
      </c>
      <c r="E84" s="1" t="n">
        <v>46310</v>
      </c>
      <c r="F84" t="inlineStr">
        <is>
          <t>ÖREBRO LÄN</t>
        </is>
      </c>
      <c r="G84" t="inlineStr">
        <is>
          <t>KARLSKOGA</t>
        </is>
      </c>
      <c r="H84" t="inlineStr">
        <is>
          <t>Kyrkan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12897-2026</t>
        </is>
      </c>
      <c r="B85" t="inlineStr">
        <is>
          <t>avverkningsanmälan</t>
        </is>
      </c>
      <c r="C85" t="inlineStr">
        <is>
          <t>Föryngringsavverkning</t>
        </is>
      </c>
      <c r="D85" s="1" t="n">
        <v>46092</v>
      </c>
      <c r="E85" s="1" t="n">
        <v>46310</v>
      </c>
      <c r="F85" t="inlineStr">
        <is>
          <t>ÖREBRO LÄN</t>
        </is>
      </c>
      <c r="G85" t="inlineStr">
        <is>
          <t>KARLSKOGA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14580-2026</t>
        </is>
      </c>
      <c r="B86" t="inlineStr">
        <is>
          <t>avverkningsanmälan</t>
        </is>
      </c>
      <c r="C86" t="inlineStr">
        <is>
          <t>Föryngringsavverkning</t>
        </is>
      </c>
      <c r="D86" s="1" t="n">
        <v>46101</v>
      </c>
      <c r="E86" s="1" t="n">
        <v>46310</v>
      </c>
      <c r="F86" t="inlineStr">
        <is>
          <t>ÖREBRO LÄN</t>
        </is>
      </c>
      <c r="G86" t="inlineStr">
        <is>
          <t>KARLSKOGA</t>
        </is>
      </c>
      <c r="H86" t="inlineStr">
        <is>
          <t>Sveaskog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59938-2023</t>
        </is>
      </c>
      <c r="B87" t="inlineStr">
        <is>
          <t>avverkningsanmälan</t>
        </is>
      </c>
      <c r="C87" t="inlineStr">
        <is>
          <t>Föryngringsavverkning</t>
        </is>
      </c>
      <c r="D87" s="1" t="n">
        <v>45257</v>
      </c>
      <c r="E87" s="1" t="n">
        <v>46310</v>
      </c>
      <c r="F87" t="inlineStr">
        <is>
          <t>ÖREBRO LÄN</t>
        </is>
      </c>
      <c r="G87" t="inlineStr">
        <is>
          <t>KARLSKOGA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52828-2024</t>
        </is>
      </c>
      <c r="B88" t="inlineStr">
        <is>
          <t>avverkningsanmälan</t>
        </is>
      </c>
      <c r="C88" t="inlineStr">
        <is>
          <t>Föryngringsavverkning</t>
        </is>
      </c>
      <c r="D88" s="1" t="n">
        <v>45610</v>
      </c>
      <c r="E88" s="1" t="n">
        <v>46310</v>
      </c>
      <c r="F88" t="inlineStr">
        <is>
          <t>ÖREBRO LÄN</t>
        </is>
      </c>
      <c r="G88" t="inlineStr">
        <is>
          <t>KARLSKOGA</t>
        </is>
      </c>
      <c r="I88" t="n">
        <v>8.300000000000001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16783-2026</t>
        </is>
      </c>
      <c r="B89" t="inlineStr">
        <is>
          <t>avverkningsanmälan</t>
        </is>
      </c>
      <c r="C89" t="inlineStr">
        <is>
          <t>Föryngringsavverkning</t>
        </is>
      </c>
      <c r="D89" s="1" t="n">
        <v>46113</v>
      </c>
      <c r="E89" s="1" t="n">
        <v>46310</v>
      </c>
      <c r="F89" t="inlineStr">
        <is>
          <t>ÖREBRO LÄN</t>
        </is>
      </c>
      <c r="G89" t="inlineStr">
        <is>
          <t>KARLSKOGA</t>
        </is>
      </c>
      <c r="H89" t="inlineStr">
        <is>
          <t>Sveaskog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16787-2026</t>
        </is>
      </c>
      <c r="B90" t="inlineStr">
        <is>
          <t>avverkningsanmälan</t>
        </is>
      </c>
      <c r="C90" t="inlineStr">
        <is>
          <t>Föryngringsavverkning</t>
        </is>
      </c>
      <c r="D90" s="1" t="n">
        <v>46113</v>
      </c>
      <c r="E90" s="1" t="n">
        <v>46310</v>
      </c>
      <c r="F90" t="inlineStr">
        <is>
          <t>ÖREBRO LÄN</t>
        </is>
      </c>
      <c r="G90" t="inlineStr">
        <is>
          <t>KARLSKOGA</t>
        </is>
      </c>
      <c r="H90" t="inlineStr">
        <is>
          <t>Sveaskog</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16782-2026</t>
        </is>
      </c>
      <c r="B91" t="inlineStr">
        <is>
          <t>avverkningsanmälan</t>
        </is>
      </c>
      <c r="C91" t="inlineStr">
        <is>
          <t>Föryngringsavverkning</t>
        </is>
      </c>
      <c r="D91" s="1" t="n">
        <v>46113</v>
      </c>
      <c r="E91" s="1" t="n">
        <v>46310</v>
      </c>
      <c r="F91" t="inlineStr">
        <is>
          <t>ÖREBRO LÄN</t>
        </is>
      </c>
      <c r="G91" t="inlineStr">
        <is>
          <t>KARLSKOGA</t>
        </is>
      </c>
      <c r="H91" t="inlineStr">
        <is>
          <t>Sveaskog</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15256-2025</t>
        </is>
      </c>
      <c r="B92" t="inlineStr">
        <is>
          <t>avverkningsanmälan</t>
        </is>
      </c>
      <c r="C92" t="inlineStr">
        <is>
          <t>Föryngringsavverkning</t>
        </is>
      </c>
      <c r="D92" s="1" t="n">
        <v>45744</v>
      </c>
      <c r="E92" s="1" t="n">
        <v>46310</v>
      </c>
      <c r="F92" t="inlineStr">
        <is>
          <t>ÖREBRO LÄN</t>
        </is>
      </c>
      <c r="G92" t="inlineStr">
        <is>
          <t>KARLSKOGA</t>
        </is>
      </c>
      <c r="H92" t="inlineStr">
        <is>
          <t>Sveaskog</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15058-2026</t>
        </is>
      </c>
      <c r="B93" t="inlineStr">
        <is>
          <t>avverkningsanmälan</t>
        </is>
      </c>
      <c r="C93" t="inlineStr">
        <is>
          <t>Föryngringsavverkning</t>
        </is>
      </c>
      <c r="D93" s="1" t="n">
        <v>46104</v>
      </c>
      <c r="E93" s="1" t="n">
        <v>46310</v>
      </c>
      <c r="F93" t="inlineStr">
        <is>
          <t>ÖREBRO LÄN</t>
        </is>
      </c>
      <c r="G93" t="inlineStr">
        <is>
          <t>KARLSKOGA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17734-2026</t>
        </is>
      </c>
      <c r="B94" t="inlineStr">
        <is>
          <t>avverkningsanmälan</t>
        </is>
      </c>
      <c r="C94" t="inlineStr">
        <is>
          <t>Föryngringsavverkning</t>
        </is>
      </c>
      <c r="D94" s="1" t="n">
        <v>46122</v>
      </c>
      <c r="E94" s="1" t="n">
        <v>46310</v>
      </c>
      <c r="F94" t="inlineStr">
        <is>
          <t>ÖREBRO LÄN</t>
        </is>
      </c>
      <c r="G94" t="inlineStr">
        <is>
          <t>KARLSKOGA</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59522-2025</t>
        </is>
      </c>
      <c r="B95" t="inlineStr">
        <is>
          <t>avverkningsanmälan</t>
        </is>
      </c>
      <c r="C95" t="inlineStr">
        <is>
          <t>Avverkning för att bevara och utveckla /försöksver</t>
        </is>
      </c>
      <c r="D95" s="1" t="n">
        <v>45989</v>
      </c>
      <c r="E95" s="1" t="n">
        <v>46310</v>
      </c>
      <c r="F95" t="inlineStr">
        <is>
          <t>ÖREBRO LÄN</t>
        </is>
      </c>
      <c r="G95" t="inlineStr">
        <is>
          <t>KARLSKOGA</t>
        </is>
      </c>
      <c r="H95" t="inlineStr">
        <is>
          <t>Sveaskog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24115-2024</t>
        </is>
      </c>
      <c r="B96" t="inlineStr">
        <is>
          <t>avverkningsanmälan</t>
        </is>
      </c>
      <c r="C96" t="inlineStr">
        <is>
          <t>Föryngringsavverkning</t>
        </is>
      </c>
      <c r="D96" s="1" t="n">
        <v>45456</v>
      </c>
      <c r="E96" s="1" t="n">
        <v>46310</v>
      </c>
      <c r="F96" t="inlineStr">
        <is>
          <t>ÖREBRO LÄN</t>
        </is>
      </c>
      <c r="G96" t="inlineStr">
        <is>
          <t>KARLSKOGA</t>
        </is>
      </c>
      <c r="I96" t="n">
        <v>8</v>
      </c>
      <c r="J96" t="n">
        <v>0</v>
      </c>
      <c r="K96" t="n">
        <v>0</v>
      </c>
      <c r="L96" t="n">
        <v>0</v>
      </c>
      <c r="M96" t="n">
        <v>0</v>
      </c>
      <c r="N96" t="n">
        <v>0</v>
      </c>
      <c r="O96" t="n">
        <v>0</v>
      </c>
      <c r="P96" t="n">
        <v>0</v>
      </c>
      <c r="Q96" t="n">
        <v>0</v>
      </c>
      <c r="R96" t="n">
        <v>0</v>
      </c>
      <c r="S96" t="n">
        <v>0</v>
      </c>
      <c r="T96" t="n">
        <v>0</v>
      </c>
      <c r="U96" t="n">
        <v>0</v>
      </c>
      <c r="V96" s="2" t="inlineStr"/>
    </row>
    <row r="97" ht="15" customHeight="1">
      <c r="A97" t="inlineStr">
        <is>
          <t>A 60506-2025</t>
        </is>
      </c>
      <c r="B97" t="inlineStr">
        <is>
          <t>avverkningsanmälan</t>
        </is>
      </c>
      <c r="C97" t="inlineStr">
        <is>
          <t>Föryngringsavverkning</t>
        </is>
      </c>
      <c r="D97" s="1" t="n">
        <v>45995</v>
      </c>
      <c r="E97" s="1" t="n">
        <v>46310</v>
      </c>
      <c r="F97" t="inlineStr">
        <is>
          <t>ÖREBRO LÄN</t>
        </is>
      </c>
      <c r="G97" t="inlineStr">
        <is>
          <t>KARLSKOGA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60508-2025</t>
        </is>
      </c>
      <c r="B98" t="inlineStr">
        <is>
          <t>avverkningsanmälan</t>
        </is>
      </c>
      <c r="C98" t="inlineStr">
        <is>
          <t>Föryngringsavverkning</t>
        </is>
      </c>
      <c r="D98" s="1" t="n">
        <v>45995</v>
      </c>
      <c r="E98" s="1" t="n">
        <v>46310</v>
      </c>
      <c r="F98" t="inlineStr">
        <is>
          <t>ÖREBRO LÄN</t>
        </is>
      </c>
      <c r="G98" t="inlineStr">
        <is>
          <t>KARLSKOGA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60503-2025</t>
        </is>
      </c>
      <c r="B99" t="inlineStr">
        <is>
          <t>avverkningsanmälan</t>
        </is>
      </c>
      <c r="C99" t="inlineStr">
        <is>
          <t>Föryngringsavverkning</t>
        </is>
      </c>
      <c r="D99" s="1" t="n">
        <v>45995</v>
      </c>
      <c r="E99" s="1" t="n">
        <v>46310</v>
      </c>
      <c r="F99" t="inlineStr">
        <is>
          <t>ÖREBRO LÄN</t>
        </is>
      </c>
      <c r="G99" t="inlineStr">
        <is>
          <t>KARLSKOGA</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19009-2026</t>
        </is>
      </c>
      <c r="B100" t="inlineStr">
        <is>
          <t>avverkningsanmälan</t>
        </is>
      </c>
      <c r="C100" t="inlineStr">
        <is>
          <t>Föryngringsavverkning</t>
        </is>
      </c>
      <c r="D100" s="1" t="n">
        <v>46130</v>
      </c>
      <c r="E100" s="1" t="n">
        <v>46310</v>
      </c>
      <c r="F100" t="inlineStr">
        <is>
          <t>ÖREBRO LÄN</t>
        </is>
      </c>
      <c r="G100" t="inlineStr">
        <is>
          <t>KARLSKOGA</t>
        </is>
      </c>
      <c r="H100" t="inlineStr">
        <is>
          <t>Sveaskog</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19011-2026</t>
        </is>
      </c>
      <c r="B101" t="inlineStr">
        <is>
          <t>avverkningsanmälan</t>
        </is>
      </c>
      <c r="C101" t="inlineStr">
        <is>
          <t>Föryngringsavverkning</t>
        </is>
      </c>
      <c r="D101" s="1" t="n">
        <v>46130</v>
      </c>
      <c r="E101" s="1" t="n">
        <v>46310</v>
      </c>
      <c r="F101" t="inlineStr">
        <is>
          <t>ÖREBRO LÄN</t>
        </is>
      </c>
      <c r="G101" t="inlineStr">
        <is>
          <t>KARLSKOGA</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19010-2026</t>
        </is>
      </c>
      <c r="B102" t="inlineStr">
        <is>
          <t>avverkningsanmälan</t>
        </is>
      </c>
      <c r="C102" t="inlineStr">
        <is>
          <t>Föryngringsavverkning</t>
        </is>
      </c>
      <c r="D102" s="1" t="n">
        <v>46130</v>
      </c>
      <c r="E102" s="1" t="n">
        <v>46310</v>
      </c>
      <c r="F102" t="inlineStr">
        <is>
          <t>ÖREBRO LÄN</t>
        </is>
      </c>
      <c r="G102" t="inlineStr">
        <is>
          <t>KARLSKOGA</t>
        </is>
      </c>
      <c r="H102" t="inlineStr">
        <is>
          <t>Sveaskog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19008-2026</t>
        </is>
      </c>
      <c r="B103" t="inlineStr">
        <is>
          <t>avverkningsanmälan</t>
        </is>
      </c>
      <c r="C103" t="inlineStr">
        <is>
          <t>Föryngringsavverkning</t>
        </is>
      </c>
      <c r="D103" s="1" t="n">
        <v>46130</v>
      </c>
      <c r="E103" s="1" t="n">
        <v>46310</v>
      </c>
      <c r="F103" t="inlineStr">
        <is>
          <t>ÖREBRO LÄN</t>
        </is>
      </c>
      <c r="G103" t="inlineStr">
        <is>
          <t>KARLSKOGA</t>
        </is>
      </c>
      <c r="H103" t="inlineStr">
        <is>
          <t>Sveaskog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61788-2025</t>
        </is>
      </c>
      <c r="B104" t="inlineStr">
        <is>
          <t>avverkningsanmälan</t>
        </is>
      </c>
      <c r="C104" t="inlineStr">
        <is>
          <t>Föryngringsavverkning</t>
        </is>
      </c>
      <c r="D104" s="1" t="n">
        <v>46002</v>
      </c>
      <c r="E104" s="1" t="n">
        <v>46310</v>
      </c>
      <c r="F104" t="inlineStr">
        <is>
          <t>ÖREBRO LÄN</t>
        </is>
      </c>
      <c r="G104" t="inlineStr">
        <is>
          <t>KARLSKOGA</t>
        </is>
      </c>
      <c r="H104" t="inlineStr">
        <is>
          <t>Kyrkan</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19663-2026</t>
        </is>
      </c>
      <c r="B105" t="inlineStr">
        <is>
          <t>avverkningsanmälan</t>
        </is>
      </c>
      <c r="C105" t="inlineStr">
        <is>
          <t>Föryngringsavverkning</t>
        </is>
      </c>
      <c r="D105" s="1" t="n">
        <v>46134</v>
      </c>
      <c r="E105" s="1" t="n">
        <v>46310</v>
      </c>
      <c r="F105" t="inlineStr">
        <is>
          <t>ÖREBRO LÄN</t>
        </is>
      </c>
      <c r="G105" t="inlineStr">
        <is>
          <t>KARLSKOGA</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18768-2025</t>
        </is>
      </c>
      <c r="B106" t="inlineStr">
        <is>
          <t>avverkningsanmälan</t>
        </is>
      </c>
      <c r="C106" t="inlineStr">
        <is>
          <t>Föryngringsavverkning</t>
        </is>
      </c>
      <c r="D106" s="1" t="n">
        <v>45764</v>
      </c>
      <c r="E106" s="1" t="n">
        <v>46310</v>
      </c>
      <c r="F106" t="inlineStr">
        <is>
          <t>ÖREBRO LÄN</t>
        </is>
      </c>
      <c r="G106" t="inlineStr">
        <is>
          <t>KARLSKOGA</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4801-2024</t>
        </is>
      </c>
      <c r="B107" t="inlineStr">
        <is>
          <t>avverkningsanmälan</t>
        </is>
      </c>
      <c r="C107" t="inlineStr">
        <is>
          <t>Föryngringsavverkning</t>
        </is>
      </c>
      <c r="D107" s="1" t="n">
        <v>45328</v>
      </c>
      <c r="E107" s="1" t="n">
        <v>46310</v>
      </c>
      <c r="F107" t="inlineStr">
        <is>
          <t>ÖREBRO LÄN</t>
        </is>
      </c>
      <c r="G107" t="inlineStr">
        <is>
          <t>KARLSKOGA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4802-2024</t>
        </is>
      </c>
      <c r="B108" t="inlineStr">
        <is>
          <t>avverkningsanmälan</t>
        </is>
      </c>
      <c r="C108" t="inlineStr">
        <is>
          <t>Föryngringsavverkning</t>
        </is>
      </c>
      <c r="D108" s="1" t="n">
        <v>45328</v>
      </c>
      <c r="E108" s="1" t="n">
        <v>46310</v>
      </c>
      <c r="F108" t="inlineStr">
        <is>
          <t>ÖREBRO LÄN</t>
        </is>
      </c>
      <c r="G108" t="inlineStr">
        <is>
          <t>KARLSKOGA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8990-2023</t>
        </is>
      </c>
      <c r="B109" t="inlineStr">
        <is>
          <t>avverkningsanmälan</t>
        </is>
      </c>
      <c r="C109" t="inlineStr">
        <is>
          <t>Föryngringsavverkning</t>
        </is>
      </c>
      <c r="D109" s="1" t="n">
        <v>44979</v>
      </c>
      <c r="E109" s="1" t="n">
        <v>46310</v>
      </c>
      <c r="F109" t="inlineStr">
        <is>
          <t>ÖREBRO LÄN</t>
        </is>
      </c>
      <c r="G109" t="inlineStr">
        <is>
          <t>KARLSKOGA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64066-2025</t>
        </is>
      </c>
      <c r="B110" t="inlineStr">
        <is>
          <t>avverkningsanmälan</t>
        </is>
      </c>
      <c r="C110" t="inlineStr">
        <is>
          <t>Avverkning för annat ändamål</t>
        </is>
      </c>
      <c r="D110" s="1" t="n">
        <v>46013</v>
      </c>
      <c r="E110" s="1" t="n">
        <v>46310</v>
      </c>
      <c r="F110" t="inlineStr">
        <is>
          <t>ÖREBRO LÄN</t>
        </is>
      </c>
      <c r="G110" t="inlineStr">
        <is>
          <t>KARLSKOGA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63628-2025</t>
        </is>
      </c>
      <c r="B111" t="inlineStr">
        <is>
          <t>avverkningsanmälan</t>
        </is>
      </c>
      <c r="C111" t="inlineStr">
        <is>
          <t>Föryngringsavverkning</t>
        </is>
      </c>
      <c r="D111" s="1" t="n">
        <v>46014</v>
      </c>
      <c r="E111" s="1" t="n">
        <v>46310</v>
      </c>
      <c r="F111" t="inlineStr">
        <is>
          <t>ÖREBRO LÄN</t>
        </is>
      </c>
      <c r="G111" t="inlineStr">
        <is>
          <t>KARLSKOGA</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42802-2023</t>
        </is>
      </c>
      <c r="B112" t="inlineStr">
        <is>
          <t>avverkningsanmälan</t>
        </is>
      </c>
      <c r="C112" t="inlineStr">
        <is>
          <t>Avverkning för att bevara och utveckla /försöksver</t>
        </is>
      </c>
      <c r="D112" s="1" t="n">
        <v>45182</v>
      </c>
      <c r="E112" s="1" t="n">
        <v>46310</v>
      </c>
      <c r="F112" t="inlineStr">
        <is>
          <t>ÖREBRO LÄN</t>
        </is>
      </c>
      <c r="G112" t="inlineStr">
        <is>
          <t>KARLSKOGA</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6835-2025</t>
        </is>
      </c>
      <c r="B113" t="inlineStr">
        <is>
          <t>avverkningsanmälan</t>
        </is>
      </c>
      <c r="C113" t="inlineStr">
        <is>
          <t>Föryngringsavverkning</t>
        </is>
      </c>
      <c r="D113" s="1" t="n">
        <v>45700</v>
      </c>
      <c r="E113" s="1" t="n">
        <v>46310</v>
      </c>
      <c r="F113" t="inlineStr">
        <is>
          <t>ÖREBRO LÄN</t>
        </is>
      </c>
      <c r="G113" t="inlineStr">
        <is>
          <t>KARLSKOGA</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28471-2023</t>
        </is>
      </c>
      <c r="B114" t="inlineStr">
        <is>
          <t>avverkningsanmälan</t>
        </is>
      </c>
      <c r="C114" t="inlineStr">
        <is>
          <t>Föryngringsavverkning</t>
        </is>
      </c>
      <c r="D114" s="1" t="n">
        <v>45103</v>
      </c>
      <c r="E114" s="1" t="n">
        <v>46310</v>
      </c>
      <c r="F114" t="inlineStr">
        <is>
          <t>ÖREBRO LÄN</t>
        </is>
      </c>
      <c r="G114" t="inlineStr">
        <is>
          <t>KARLSKOGA</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1788-2026</t>
        </is>
      </c>
      <c r="B115" t="inlineStr">
        <is>
          <t>avverkningsanmälan</t>
        </is>
      </c>
      <c r="C115" t="inlineStr">
        <is>
          <t>Föryngringsavverkning</t>
        </is>
      </c>
      <c r="D115" s="1" t="n">
        <v>46034</v>
      </c>
      <c r="E115" s="1" t="n">
        <v>46310</v>
      </c>
      <c r="F115" t="inlineStr">
        <is>
          <t>ÖREBRO LÄN</t>
        </is>
      </c>
      <c r="G115" t="inlineStr">
        <is>
          <t>KARLSKOGA</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17243-2024</t>
        </is>
      </c>
      <c r="B116" t="inlineStr">
        <is>
          <t>avverkningsanmälan</t>
        </is>
      </c>
      <c r="C116" t="inlineStr">
        <is>
          <t>Föryngringsavverkning</t>
        </is>
      </c>
      <c r="D116" s="1" t="n">
        <v>45414</v>
      </c>
      <c r="E116" s="1" t="n">
        <v>46310</v>
      </c>
      <c r="F116" t="inlineStr">
        <is>
          <t>ÖREBRO LÄN</t>
        </is>
      </c>
      <c r="G116" t="inlineStr">
        <is>
          <t>KARLSKOGA</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22867-2022</t>
        </is>
      </c>
      <c r="B117" t="inlineStr">
        <is>
          <t>avverkningsanmälan</t>
        </is>
      </c>
      <c r="C117" t="inlineStr">
        <is>
          <t>Föryngringsavverkning</t>
        </is>
      </c>
      <c r="D117" s="1" t="n">
        <v>44715</v>
      </c>
      <c r="E117" s="1" t="n">
        <v>46310</v>
      </c>
      <c r="F117" t="inlineStr">
        <is>
          <t>ÖREBRO LÄN</t>
        </is>
      </c>
      <c r="G117" t="inlineStr">
        <is>
          <t>KARLSKOGA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64060-2023</t>
        </is>
      </c>
      <c r="B118" t="inlineStr">
        <is>
          <t>avverkningsanmälan</t>
        </is>
      </c>
      <c r="C118" t="inlineStr">
        <is>
          <t>Föryngringsavverkning</t>
        </is>
      </c>
      <c r="D118" s="1" t="n">
        <v>45279</v>
      </c>
      <c r="E118" s="1" t="n">
        <v>46310</v>
      </c>
      <c r="F118" t="inlineStr">
        <is>
          <t>ÖREBRO LÄN</t>
        </is>
      </c>
      <c r="G118" t="inlineStr">
        <is>
          <t>KARLSKOGA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21210-2025</t>
        </is>
      </c>
      <c r="B119" t="inlineStr">
        <is>
          <t>avverkningsanmälan</t>
        </is>
      </c>
      <c r="C119" t="inlineStr">
        <is>
          <t>Föryngringsavverkning</t>
        </is>
      </c>
      <c r="D119" s="1" t="n">
        <v>45779</v>
      </c>
      <c r="E119" s="1" t="n">
        <v>46310</v>
      </c>
      <c r="F119" t="inlineStr">
        <is>
          <t>ÖREBRO LÄN</t>
        </is>
      </c>
      <c r="G119" t="inlineStr">
        <is>
          <t>KARLSKOGA</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48707-2024</t>
        </is>
      </c>
      <c r="B120" t="inlineStr">
        <is>
          <t>avverkningsanmälan</t>
        </is>
      </c>
      <c r="C120" t="inlineStr">
        <is>
          <t>Föryngringsavverkning</t>
        </is>
      </c>
      <c r="D120" s="1" t="n">
        <v>45593</v>
      </c>
      <c r="E120" s="1" t="n">
        <v>46310</v>
      </c>
      <c r="F120" t="inlineStr">
        <is>
          <t>ÖREBRO LÄN</t>
        </is>
      </c>
      <c r="G120" t="inlineStr">
        <is>
          <t>KARLSKOGA</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23717-2025</t>
        </is>
      </c>
      <c r="B121" t="inlineStr">
        <is>
          <t>avverkningsanmälan</t>
        </is>
      </c>
      <c r="C121" t="inlineStr">
        <is>
          <t>Föryngringsavverkning</t>
        </is>
      </c>
      <c r="D121" s="1" t="n">
        <v>45793</v>
      </c>
      <c r="E121" s="1" t="n">
        <v>46310</v>
      </c>
      <c r="F121" t="inlineStr">
        <is>
          <t>ÖREBRO LÄN</t>
        </is>
      </c>
      <c r="G121" t="inlineStr">
        <is>
          <t>KARLSKOGA</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45664-2025</t>
        </is>
      </c>
      <c r="B122" t="inlineStr">
        <is>
          <t>avverkningsanmälan</t>
        </is>
      </c>
      <c r="C122" t="inlineStr">
        <is>
          <t>Föryngringsavverkning</t>
        </is>
      </c>
      <c r="D122" s="1" t="n">
        <v>45923</v>
      </c>
      <c r="E122" s="1" t="n">
        <v>46310</v>
      </c>
      <c r="F122" t="inlineStr">
        <is>
          <t>ÖREBRO LÄN</t>
        </is>
      </c>
      <c r="G122" t="inlineStr">
        <is>
          <t>KARLSKOGA</t>
        </is>
      </c>
      <c r="H122" t="inlineStr">
        <is>
          <t>Sveaskog</t>
        </is>
      </c>
      <c r="I122" t="n">
        <v>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2911-2026</t>
        </is>
      </c>
      <c r="B123" t="inlineStr">
        <is>
          <t>avverkningsanmälan</t>
        </is>
      </c>
      <c r="C123" t="inlineStr">
        <is>
          <t>Föryngringsavverkning</t>
        </is>
      </c>
      <c r="D123" s="1" t="n">
        <v>46038</v>
      </c>
      <c r="E123" s="1" t="n">
        <v>46310</v>
      </c>
      <c r="F123" t="inlineStr">
        <is>
          <t>ÖREBRO LÄN</t>
        </is>
      </c>
      <c r="G123" t="inlineStr">
        <is>
          <t>KARLSKOGA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55832-2023</t>
        </is>
      </c>
      <c r="B124" t="inlineStr">
        <is>
          <t>avverkningsanmälan</t>
        </is>
      </c>
      <c r="C124" t="inlineStr">
        <is>
          <t>Föryngringsavverkning</t>
        </is>
      </c>
      <c r="D124" s="1" t="n">
        <v>45239</v>
      </c>
      <c r="E124" s="1" t="n">
        <v>46310</v>
      </c>
      <c r="F124" t="inlineStr">
        <is>
          <t>ÖREBRO LÄN</t>
        </is>
      </c>
      <c r="G124" t="inlineStr">
        <is>
          <t>KARLSKOGA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47222-2024</t>
        </is>
      </c>
      <c r="B125" t="inlineStr">
        <is>
          <t>avverkningsanmälan</t>
        </is>
      </c>
      <c r="C125" t="inlineStr">
        <is>
          <t>Föryngringsavverkning</t>
        </is>
      </c>
      <c r="D125" s="1" t="n">
        <v>45586</v>
      </c>
      <c r="E125" s="1" t="n">
        <v>46310</v>
      </c>
      <c r="F125" t="inlineStr">
        <is>
          <t>ÖREBRO LÄN</t>
        </is>
      </c>
      <c r="G125" t="inlineStr">
        <is>
          <t>KARLSKOGA</t>
        </is>
      </c>
      <c r="H125" t="inlineStr">
        <is>
          <t>Sveaskog</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58388-2024</t>
        </is>
      </c>
      <c r="B126" t="inlineStr">
        <is>
          <t>avverkningsanmälan</t>
        </is>
      </c>
      <c r="C126" t="inlineStr">
        <is>
          <t>Föryngringsavverkning</t>
        </is>
      </c>
      <c r="D126" s="1" t="n">
        <v>45633</v>
      </c>
      <c r="E126" s="1" t="n">
        <v>46310</v>
      </c>
      <c r="F126" t="inlineStr">
        <is>
          <t>ÖREBRO LÄN</t>
        </is>
      </c>
      <c r="G126" t="inlineStr">
        <is>
          <t>KARLSKOGA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18978-2025</t>
        </is>
      </c>
      <c r="B127" t="inlineStr">
        <is>
          <t>avverkningsanmälan</t>
        </is>
      </c>
      <c r="C127" t="inlineStr">
        <is>
          <t>Föryngringsavverkning</t>
        </is>
      </c>
      <c r="D127" s="1" t="n">
        <v>45764</v>
      </c>
      <c r="E127" s="1" t="n">
        <v>46310</v>
      </c>
      <c r="F127" t="inlineStr">
        <is>
          <t>ÖREBRO LÄN</t>
        </is>
      </c>
      <c r="G127" t="inlineStr">
        <is>
          <t>KARLSKOGA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917-2026</t>
        </is>
      </c>
      <c r="B128" t="inlineStr">
        <is>
          <t>avverkningsanmälan</t>
        </is>
      </c>
      <c r="C128" t="inlineStr">
        <is>
          <t>Föryngringsavverkning</t>
        </is>
      </c>
      <c r="D128" s="1" t="n">
        <v>46030</v>
      </c>
      <c r="E128" s="1" t="n">
        <v>46310</v>
      </c>
      <c r="F128" t="inlineStr">
        <is>
          <t>ÖREBRO LÄN</t>
        </is>
      </c>
      <c r="G128" t="inlineStr">
        <is>
          <t>KARLSKOGA</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21253-2026</t>
        </is>
      </c>
      <c r="B129" t="inlineStr">
        <is>
          <t>avverkningsanmälan</t>
        </is>
      </c>
      <c r="C129" t="inlineStr">
        <is>
          <t>Föryngringsavverkning</t>
        </is>
      </c>
      <c r="D129" s="1" t="n">
        <v>46147</v>
      </c>
      <c r="E129" s="1" t="n">
        <v>46310</v>
      </c>
      <c r="F129" t="inlineStr">
        <is>
          <t>ÖREBRO LÄN</t>
        </is>
      </c>
      <c r="G129" t="inlineStr">
        <is>
          <t>KARLSKOGA</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21257-2026</t>
        </is>
      </c>
      <c r="B130" t="inlineStr">
        <is>
          <t>avverkningsanmälan</t>
        </is>
      </c>
      <c r="C130" t="inlineStr">
        <is>
          <t>Föryngringsavverkning</t>
        </is>
      </c>
      <c r="D130" s="1" t="n">
        <v>46147</v>
      </c>
      <c r="E130" s="1" t="n">
        <v>46310</v>
      </c>
      <c r="F130" t="inlineStr">
        <is>
          <t>ÖREBRO LÄN</t>
        </is>
      </c>
      <c r="G130" t="inlineStr">
        <is>
          <t>KARLSKOGA</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35060-2024</t>
        </is>
      </c>
      <c r="B131" t="inlineStr">
        <is>
          <t>avverkningsanmälan</t>
        </is>
      </c>
      <c r="C131" t="inlineStr">
        <is>
          <t>Föryngringsavverkning</t>
        </is>
      </c>
      <c r="D131" s="1" t="n">
        <v>45527</v>
      </c>
      <c r="E131" s="1" t="n">
        <v>46310</v>
      </c>
      <c r="F131" t="inlineStr">
        <is>
          <t>ÖREBRO LÄN</t>
        </is>
      </c>
      <c r="G131" t="inlineStr">
        <is>
          <t>KARLSKOGA</t>
        </is>
      </c>
      <c r="H131" t="inlineStr">
        <is>
          <t>Kyrkan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3227-2025</t>
        </is>
      </c>
      <c r="B132" t="inlineStr">
        <is>
          <t>avverkningsanmälan</t>
        </is>
      </c>
      <c r="C132" t="inlineStr">
        <is>
          <t>Föryngringsavverkning</t>
        </is>
      </c>
      <c r="D132" s="1" t="n">
        <v>45679</v>
      </c>
      <c r="E132" s="1" t="n">
        <v>46310</v>
      </c>
      <c r="F132" t="inlineStr">
        <is>
          <t>ÖREBRO LÄN</t>
        </is>
      </c>
      <c r="G132" t="inlineStr">
        <is>
          <t>KARLSKOGA</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52826-2024</t>
        </is>
      </c>
      <c r="B133" t="inlineStr">
        <is>
          <t>avverkningsanmälan</t>
        </is>
      </c>
      <c r="C133" t="inlineStr">
        <is>
          <t>Föryngringsavverkning</t>
        </is>
      </c>
      <c r="D133" s="1" t="n">
        <v>45610</v>
      </c>
      <c r="E133" s="1" t="n">
        <v>46310</v>
      </c>
      <c r="F133" t="inlineStr">
        <is>
          <t>ÖREBRO LÄN</t>
        </is>
      </c>
      <c r="G133" t="inlineStr">
        <is>
          <t>KARLSKOGA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52829-2024</t>
        </is>
      </c>
      <c r="B134" t="inlineStr">
        <is>
          <t>avverkningsanmälan</t>
        </is>
      </c>
      <c r="C134" t="inlineStr">
        <is>
          <t>Föryngringsavverkning</t>
        </is>
      </c>
      <c r="D134" s="1" t="n">
        <v>45610</v>
      </c>
      <c r="E134" s="1" t="n">
        <v>46310</v>
      </c>
      <c r="F134" t="inlineStr">
        <is>
          <t>ÖREBRO LÄN</t>
        </is>
      </c>
      <c r="G134" t="inlineStr">
        <is>
          <t>KARLSKOGA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11974-2025</t>
        </is>
      </c>
      <c r="B135" t="inlineStr">
        <is>
          <t>avverkningsanmälan</t>
        </is>
      </c>
      <c r="C135" t="inlineStr">
        <is>
          <t>Föryngringsavverkning</t>
        </is>
      </c>
      <c r="D135" s="1" t="n">
        <v>45728</v>
      </c>
      <c r="E135" s="1" t="n">
        <v>46310</v>
      </c>
      <c r="F135" t="inlineStr">
        <is>
          <t>ÖREBRO LÄN</t>
        </is>
      </c>
      <c r="G135" t="inlineStr">
        <is>
          <t>KARLSKOGA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61271-2022</t>
        </is>
      </c>
      <c r="B136" t="inlineStr">
        <is>
          <t>avverkningsanmälan</t>
        </is>
      </c>
      <c r="C136" t="inlineStr">
        <is>
          <t>Föryngringsavverkning</t>
        </is>
      </c>
      <c r="D136" s="1" t="n">
        <v>44909</v>
      </c>
      <c r="E136" s="1" t="n">
        <v>46310</v>
      </c>
      <c r="F136" t="inlineStr">
        <is>
          <t>ÖREBRO LÄN</t>
        </is>
      </c>
      <c r="G136" t="inlineStr">
        <is>
          <t>KARLSKOGA</t>
        </is>
      </c>
      <c r="H136" t="inlineStr">
        <is>
          <t>Övriga Aktiebolag</t>
        </is>
      </c>
      <c r="I136" t="n">
        <v>14.1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48168-2024</t>
        </is>
      </c>
      <c r="B137" t="inlineStr">
        <is>
          <t>avverkningsanmälan</t>
        </is>
      </c>
      <c r="C137" t="inlineStr">
        <is>
          <t>Föryngringsavverkning</t>
        </is>
      </c>
      <c r="D137" s="1" t="n">
        <v>45589</v>
      </c>
      <c r="E137" s="1" t="n">
        <v>46310</v>
      </c>
      <c r="F137" t="inlineStr">
        <is>
          <t>ÖREBRO LÄN</t>
        </is>
      </c>
      <c r="G137" t="inlineStr">
        <is>
          <t>KARLSKOGA</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23754-2026</t>
        </is>
      </c>
      <c r="B138" t="inlineStr">
        <is>
          <t>avverkningsanmälan</t>
        </is>
      </c>
      <c r="C138" t="inlineStr">
        <is>
          <t>Föryngringsavverkning</t>
        </is>
      </c>
      <c r="D138" s="1" t="n">
        <v>46164</v>
      </c>
      <c r="E138" s="1" t="n">
        <v>46310</v>
      </c>
      <c r="F138" t="inlineStr">
        <is>
          <t>ÖREBRO LÄN</t>
        </is>
      </c>
      <c r="G138" t="inlineStr">
        <is>
          <t>KARLSKOGA</t>
        </is>
      </c>
      <c r="H138" t="inlineStr">
        <is>
          <t>Sveaskog</t>
        </is>
      </c>
      <c r="I138" t="n">
        <v>12.2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4587-2025</t>
        </is>
      </c>
      <c r="B139" t="inlineStr">
        <is>
          <t>avverkningsanmälan</t>
        </is>
      </c>
      <c r="C139" t="inlineStr">
        <is>
          <t>Föryngringsavverkning</t>
        </is>
      </c>
      <c r="D139" s="1" t="n">
        <v>45687</v>
      </c>
      <c r="E139" s="1" t="n">
        <v>46310</v>
      </c>
      <c r="F139" t="inlineStr">
        <is>
          <t>ÖREBRO LÄN</t>
        </is>
      </c>
      <c r="G139" t="inlineStr">
        <is>
          <t>KARLSKOGA</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4587-2025</t>
        </is>
      </c>
      <c r="B140" t="inlineStr">
        <is>
          <t>avverkningsanmälan</t>
        </is>
      </c>
      <c r="C140" t="inlineStr">
        <is>
          <t>Föryngringsavverkning</t>
        </is>
      </c>
      <c r="D140" s="1" t="n">
        <v>45687</v>
      </c>
      <c r="E140" s="1" t="n">
        <v>46310</v>
      </c>
      <c r="F140" t="inlineStr">
        <is>
          <t>ÖREBRO LÄN</t>
        </is>
      </c>
      <c r="G140" t="inlineStr">
        <is>
          <t>KARLSKOGA</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18955-2025</t>
        </is>
      </c>
      <c r="B141" t="inlineStr">
        <is>
          <t>avverkningsanmälan</t>
        </is>
      </c>
      <c r="C141" t="inlineStr">
        <is>
          <t>Föryngringsavverkning</t>
        </is>
      </c>
      <c r="D141" s="1" t="n">
        <v>45764</v>
      </c>
      <c r="E141" s="1" t="n">
        <v>46310</v>
      </c>
      <c r="F141" t="inlineStr">
        <is>
          <t>ÖREBRO LÄN</t>
        </is>
      </c>
      <c r="G141" t="inlineStr">
        <is>
          <t>KARLSKOGA</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24666-2026</t>
        </is>
      </c>
      <c r="B142" t="inlineStr">
        <is>
          <t>avverkningsanmälan</t>
        </is>
      </c>
      <c r="C142" t="inlineStr">
        <is>
          <t>Föryngringsavverkning</t>
        </is>
      </c>
      <c r="D142" s="1" t="n">
        <v>46171</v>
      </c>
      <c r="E142" s="1" t="n">
        <v>46310</v>
      </c>
      <c r="F142" t="inlineStr">
        <is>
          <t>ÖREBRO LÄN</t>
        </is>
      </c>
      <c r="G142" t="inlineStr">
        <is>
          <t>KARLSKOGA</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50614-2024</t>
        </is>
      </c>
      <c r="B143" t="inlineStr">
        <is>
          <t>avverkningsanmälan</t>
        </is>
      </c>
      <c r="C143" t="inlineStr">
        <is>
          <t>Föryngringsavverkning</t>
        </is>
      </c>
      <c r="D143" s="1" t="n">
        <v>45601</v>
      </c>
      <c r="E143" s="1" t="n">
        <v>46310</v>
      </c>
      <c r="F143" t="inlineStr">
        <is>
          <t>ÖREBRO LÄN</t>
        </is>
      </c>
      <c r="G143" t="inlineStr">
        <is>
          <t>KARLSKOGA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25092-2026</t>
        </is>
      </c>
      <c r="B144" t="inlineStr">
        <is>
          <t>avverkningsanmälan</t>
        </is>
      </c>
      <c r="C144" t="inlineStr">
        <is>
          <t>Föryngringsavverkning</t>
        </is>
      </c>
      <c r="D144" s="1" t="n">
        <v>46175</v>
      </c>
      <c r="E144" s="1" t="n">
        <v>46310</v>
      </c>
      <c r="F144" t="inlineStr">
        <is>
          <t>ÖREBRO LÄN</t>
        </is>
      </c>
      <c r="G144" t="inlineStr">
        <is>
          <t>KARLSKOGA</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55182-2024</t>
        </is>
      </c>
      <c r="B145" t="inlineStr">
        <is>
          <t>avverkningsanmälan</t>
        </is>
      </c>
      <c r="C145" t="inlineStr">
        <is>
          <t>Föryngringsavverkning</t>
        </is>
      </c>
      <c r="D145" s="1" t="n">
        <v>45618</v>
      </c>
      <c r="E145" s="1" t="n">
        <v>46310</v>
      </c>
      <c r="F145" t="inlineStr">
        <is>
          <t>ÖREBRO LÄN</t>
        </is>
      </c>
      <c r="G145" t="inlineStr">
        <is>
          <t>KARLSKOGA</t>
        </is>
      </c>
      <c r="I145" t="n">
        <v>11.4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25098-2026</t>
        </is>
      </c>
      <c r="B146" t="inlineStr">
        <is>
          <t>avverkningsanmälan</t>
        </is>
      </c>
      <c r="C146" t="inlineStr">
        <is>
          <t>Avverkning för att bevara och utveckla /försöksver</t>
        </is>
      </c>
      <c r="D146" s="1" t="n">
        <v>46175</v>
      </c>
      <c r="E146" s="1" t="n">
        <v>46310</v>
      </c>
      <c r="F146" t="inlineStr">
        <is>
          <t>ÖREBRO LÄN</t>
        </is>
      </c>
      <c r="G146" t="inlineStr">
        <is>
          <t>KARLSKOGA</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4058-2022</t>
        </is>
      </c>
      <c r="B147" t="inlineStr">
        <is>
          <t>avverkningsanmälan</t>
        </is>
      </c>
      <c r="C147" t="inlineStr">
        <is>
          <t>Föryngringsavverkning</t>
        </is>
      </c>
      <c r="D147" s="1" t="n">
        <v>44588</v>
      </c>
      <c r="E147" s="1" t="n">
        <v>46310</v>
      </c>
      <c r="F147" t="inlineStr">
        <is>
          <t>ÖREBRO LÄN</t>
        </is>
      </c>
      <c r="G147" t="inlineStr">
        <is>
          <t>KARLSKOGA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26608-2026</t>
        </is>
      </c>
      <c r="B148" t="inlineStr">
        <is>
          <t>avverkningsanmälan</t>
        </is>
      </c>
      <c r="C148" t="inlineStr">
        <is>
          <t>Föryngringsavverkning</t>
        </is>
      </c>
      <c r="D148" s="1" t="n">
        <v>46184</v>
      </c>
      <c r="E148" s="1" t="n">
        <v>46310</v>
      </c>
      <c r="F148" t="inlineStr">
        <is>
          <t>ÖREBRO LÄN</t>
        </is>
      </c>
      <c r="G148" t="inlineStr">
        <is>
          <t>KARLSKOGA</t>
        </is>
      </c>
      <c r="H148" t="inlineStr">
        <is>
          <t>Sveaskog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27120-2026</t>
        </is>
      </c>
      <c r="B149" t="inlineStr">
        <is>
          <t>avverkningsanmälan</t>
        </is>
      </c>
      <c r="C149" t="inlineStr">
        <is>
          <t>Föryngringsavverkning</t>
        </is>
      </c>
      <c r="D149" s="1" t="n">
        <v>46188</v>
      </c>
      <c r="E149" s="1" t="n">
        <v>46310</v>
      </c>
      <c r="F149" t="inlineStr">
        <is>
          <t>ÖREBRO LÄN</t>
        </is>
      </c>
      <c r="G149" t="inlineStr">
        <is>
          <t>KARLSKOGA</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26819-2026</t>
        </is>
      </c>
      <c r="B150" t="inlineStr">
        <is>
          <t>avverkningsanmälan</t>
        </is>
      </c>
      <c r="C150" t="inlineStr">
        <is>
          <t>Föryngringsavverkning</t>
        </is>
      </c>
      <c r="D150" s="1" t="n">
        <v>46185</v>
      </c>
      <c r="E150" s="1" t="n">
        <v>46310</v>
      </c>
      <c r="F150" t="inlineStr">
        <is>
          <t>ÖREBRO LÄN</t>
        </is>
      </c>
      <c r="G150" t="inlineStr">
        <is>
          <t>KARLSKOGA</t>
        </is>
      </c>
      <c r="H150" t="inlineStr">
        <is>
          <t>Sveaskog</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3239-2026</t>
        </is>
      </c>
      <c r="B151" t="inlineStr">
        <is>
          <t>avverkningsanmälan</t>
        </is>
      </c>
      <c r="C151" t="inlineStr">
        <is>
          <t>Föryngringsavverkning</t>
        </is>
      </c>
      <c r="D151" s="1" t="n">
        <v>46041</v>
      </c>
      <c r="E151" s="1" t="n">
        <v>46310</v>
      </c>
      <c r="F151" t="inlineStr">
        <is>
          <t>ÖREBRO LÄN</t>
        </is>
      </c>
      <c r="G151" t="inlineStr">
        <is>
          <t>KARLSKOGA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26820-2026</t>
        </is>
      </c>
      <c r="B152" t="inlineStr">
        <is>
          <t>avverkningsanmälan</t>
        </is>
      </c>
      <c r="C152" t="inlineStr">
        <is>
          <t>Föryngringsavverkning</t>
        </is>
      </c>
      <c r="D152" s="1" t="n">
        <v>46185</v>
      </c>
      <c r="E152" s="1" t="n">
        <v>46310</v>
      </c>
      <c r="F152" t="inlineStr">
        <is>
          <t>ÖREBRO LÄN</t>
        </is>
      </c>
      <c r="G152" t="inlineStr">
        <is>
          <t>KARLSKOGA</t>
        </is>
      </c>
      <c r="H152" t="inlineStr">
        <is>
          <t>Sveaskog</t>
        </is>
      </c>
      <c r="I152" t="n">
        <v>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26821-2026</t>
        </is>
      </c>
      <c r="B153" t="inlineStr">
        <is>
          <t>avverkningsanmälan</t>
        </is>
      </c>
      <c r="C153" t="inlineStr">
        <is>
          <t>Föryngringsavverkning</t>
        </is>
      </c>
      <c r="D153" s="1" t="n">
        <v>46185</v>
      </c>
      <c r="E153" s="1" t="n">
        <v>46310</v>
      </c>
      <c r="F153" t="inlineStr">
        <is>
          <t>ÖREBRO LÄN</t>
        </is>
      </c>
      <c r="G153" t="inlineStr">
        <is>
          <t>KARLSKOGA</t>
        </is>
      </c>
      <c r="H153" t="inlineStr">
        <is>
          <t>Sveaskog</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26822-2026</t>
        </is>
      </c>
      <c r="B154" t="inlineStr">
        <is>
          <t>avverkningsanmälan</t>
        </is>
      </c>
      <c r="C154" t="inlineStr">
        <is>
          <t>Föryngringsavverkning</t>
        </is>
      </c>
      <c r="D154" s="1" t="n">
        <v>46185</v>
      </c>
      <c r="E154" s="1" t="n">
        <v>46310</v>
      </c>
      <c r="F154" t="inlineStr">
        <is>
          <t>ÖREBRO LÄN</t>
        </is>
      </c>
      <c r="G154" t="inlineStr">
        <is>
          <t>KARLSKOGA</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26824-2026</t>
        </is>
      </c>
      <c r="B155" t="inlineStr">
        <is>
          <t>avverkningsanmälan</t>
        </is>
      </c>
      <c r="C155" t="inlineStr">
        <is>
          <t>Föryngringsavverkning</t>
        </is>
      </c>
      <c r="D155" s="1" t="n">
        <v>46185</v>
      </c>
      <c r="E155" s="1" t="n">
        <v>46310</v>
      </c>
      <c r="F155" t="inlineStr">
        <is>
          <t>ÖREBRO LÄN</t>
        </is>
      </c>
      <c r="G155" t="inlineStr">
        <is>
          <t>KARLSKOGA</t>
        </is>
      </c>
      <c r="H155" t="inlineStr">
        <is>
          <t>Sveaskog</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26825-2026</t>
        </is>
      </c>
      <c r="B156" t="inlineStr">
        <is>
          <t>avverkningsanmälan</t>
        </is>
      </c>
      <c r="C156" t="inlineStr">
        <is>
          <t>Föryngringsavverkning</t>
        </is>
      </c>
      <c r="D156" s="1" t="n">
        <v>46185</v>
      </c>
      <c r="E156" s="1" t="n">
        <v>46310</v>
      </c>
      <c r="F156" t="inlineStr">
        <is>
          <t>ÖREBRO LÄN</t>
        </is>
      </c>
      <c r="G156" t="inlineStr">
        <is>
          <t>KARLSKOGA</t>
        </is>
      </c>
      <c r="H156" t="inlineStr">
        <is>
          <t>Sveaskog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27392-2026</t>
        </is>
      </c>
      <c r="B157" t="inlineStr">
        <is>
          <t>avverkningsanmälan</t>
        </is>
      </c>
      <c r="C157" t="inlineStr">
        <is>
          <t>Föryngringsavverkning</t>
        </is>
      </c>
      <c r="D157" s="1" t="n">
        <v>46189</v>
      </c>
      <c r="E157" s="1" t="n">
        <v>46310</v>
      </c>
      <c r="F157" t="inlineStr">
        <is>
          <t>ÖREBRO LÄN</t>
        </is>
      </c>
      <c r="G157" t="inlineStr">
        <is>
          <t>KARLSKOGA</t>
        </is>
      </c>
      <c r="H157" t="inlineStr">
        <is>
          <t>Sveaskog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28100-2024</t>
        </is>
      </c>
      <c r="B158" t="inlineStr">
        <is>
          <t>avverkningsanmälan</t>
        </is>
      </c>
      <c r="C158" t="inlineStr">
        <is>
          <t>Föryngringsavverkning</t>
        </is>
      </c>
      <c r="D158" s="1" t="n">
        <v>45476</v>
      </c>
      <c r="E158" s="1" t="n">
        <v>46310</v>
      </c>
      <c r="F158" t="inlineStr">
        <is>
          <t>ÖREBRO LÄN</t>
        </is>
      </c>
      <c r="G158" t="inlineStr">
        <is>
          <t>KARLSKOGA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1106-2024</t>
        </is>
      </c>
      <c r="B159" t="inlineStr">
        <is>
          <t>avverkningsanmälan</t>
        </is>
      </c>
      <c r="C159" t="inlineStr">
        <is>
          <t>Föryngringsavverkning</t>
        </is>
      </c>
      <c r="D159" s="1" t="n">
        <v>45302</v>
      </c>
      <c r="E159" s="1" t="n">
        <v>46310</v>
      </c>
      <c r="F159" t="inlineStr">
        <is>
          <t>ÖREBRO LÄN</t>
        </is>
      </c>
      <c r="G159" t="inlineStr">
        <is>
          <t>KARLSKOGA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39030-2022</t>
        </is>
      </c>
      <c r="B160" t="inlineStr">
        <is>
          <t>avverkningsanmälan</t>
        </is>
      </c>
      <c r="C160" t="inlineStr">
        <is>
          <t>Föryngringsavverkning</t>
        </is>
      </c>
      <c r="D160" s="1" t="n">
        <v>44817</v>
      </c>
      <c r="E160" s="1" t="n">
        <v>46310</v>
      </c>
      <c r="F160" t="inlineStr">
        <is>
          <t>ÖREBRO LÄN</t>
        </is>
      </c>
      <c r="G160" t="inlineStr">
        <is>
          <t>KARLSKOGA</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38382-2022</t>
        </is>
      </c>
      <c r="B161" t="inlineStr">
        <is>
          <t>avverkningsanmälan</t>
        </is>
      </c>
      <c r="C161" t="inlineStr">
        <is>
          <t>Föryngringsavverkning</t>
        </is>
      </c>
      <c r="D161" s="1" t="n">
        <v>44812</v>
      </c>
      <c r="E161" s="1" t="n">
        <v>46310</v>
      </c>
      <c r="F161" t="inlineStr">
        <is>
          <t>ÖREBRO LÄN</t>
        </is>
      </c>
      <c r="G161" t="inlineStr">
        <is>
          <t>KARLSKOGA</t>
        </is>
      </c>
      <c r="H161" t="inlineStr">
        <is>
          <t>Kyrkan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16881-2023</t>
        </is>
      </c>
      <c r="B162" t="inlineStr">
        <is>
          <t>avverkningsanmälan</t>
        </is>
      </c>
      <c r="C162" t="inlineStr">
        <is>
          <t>Föryngringsavverkning</t>
        </is>
      </c>
      <c r="D162" s="1" t="n">
        <v>45033</v>
      </c>
      <c r="E162" s="1" t="n">
        <v>46310</v>
      </c>
      <c r="F162" t="inlineStr">
        <is>
          <t>ÖREBRO LÄN</t>
        </is>
      </c>
      <c r="G162" t="inlineStr">
        <is>
          <t>KARLSKOGA</t>
        </is>
      </c>
      <c r="H162" t="inlineStr">
        <is>
          <t>Kyrkan</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31378-2026</t>
        </is>
      </c>
      <c r="B163" t="inlineStr">
        <is>
          <t>avverkningsanmälan</t>
        </is>
      </c>
      <c r="C163" t="inlineStr">
        <is>
          <t>Föryngringsavverkning</t>
        </is>
      </c>
      <c r="D163" s="1" t="n">
        <v>46213</v>
      </c>
      <c r="E163" s="1" t="n">
        <v>46310</v>
      </c>
      <c r="F163" t="inlineStr">
        <is>
          <t>ÖREBRO LÄN</t>
        </is>
      </c>
      <c r="G163" t="inlineStr">
        <is>
          <t>KARLSKOGA</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8244-2025</t>
        </is>
      </c>
      <c r="B164" t="inlineStr">
        <is>
          <t>avverkningsanmälan</t>
        </is>
      </c>
      <c r="C164" t="inlineStr">
        <is>
          <t>Föryngringsavverkning</t>
        </is>
      </c>
      <c r="D164" s="1" t="n">
        <v>45708</v>
      </c>
      <c r="E164" s="1" t="n">
        <v>46310</v>
      </c>
      <c r="F164" t="inlineStr">
        <is>
          <t>ÖREBRO LÄN</t>
        </is>
      </c>
      <c r="G164" t="inlineStr">
        <is>
          <t>KARLSKOGA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38190-2024</t>
        </is>
      </c>
      <c r="B165" t="inlineStr">
        <is>
          <t>avverkningsanmälan</t>
        </is>
      </c>
      <c r="C165" t="inlineStr">
        <is>
          <t>Föryngringsavverkning</t>
        </is>
      </c>
      <c r="D165" s="1" t="n">
        <v>45545</v>
      </c>
      <c r="E165" s="1" t="n">
        <v>46310</v>
      </c>
      <c r="F165" t="inlineStr">
        <is>
          <t>ÖREBRO LÄN</t>
        </is>
      </c>
      <c r="G165" t="inlineStr">
        <is>
          <t>KARLSKOGA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36374-2026</t>
        </is>
      </c>
      <c r="B166" t="inlineStr">
        <is>
          <t>avverkningsanmälan</t>
        </is>
      </c>
      <c r="C166" t="inlineStr">
        <is>
          <t>Föryngringsavverkning</t>
        </is>
      </c>
      <c r="D166" s="1" t="n">
        <v>46268</v>
      </c>
      <c r="E166" s="1" t="n">
        <v>46310</v>
      </c>
      <c r="F166" t="inlineStr">
        <is>
          <t>ÖREBRO LÄN</t>
        </is>
      </c>
      <c r="G166" t="inlineStr">
        <is>
          <t>KARLSKOGA</t>
        </is>
      </c>
      <c r="H166" t="inlineStr">
        <is>
          <t>Kyrkan</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20463-2025</t>
        </is>
      </c>
      <c r="B167" t="inlineStr">
        <is>
          <t>avverkningsanmälan</t>
        </is>
      </c>
      <c r="C167" t="inlineStr">
        <is>
          <t>Föryngringsavverkning</t>
        </is>
      </c>
      <c r="D167" s="1" t="n">
        <v>45775</v>
      </c>
      <c r="E167" s="1" t="n">
        <v>46310</v>
      </c>
      <c r="F167" t="inlineStr">
        <is>
          <t>ÖREBRO LÄN</t>
        </is>
      </c>
      <c r="G167" t="inlineStr">
        <is>
          <t>KARLSKOGA</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37089-2026</t>
        </is>
      </c>
      <c r="B168" t="inlineStr">
        <is>
          <t>avverkningsanmälan</t>
        </is>
      </c>
      <c r="C168" t="inlineStr">
        <is>
          <t>Föryngringsavverkning</t>
        </is>
      </c>
      <c r="D168" s="1" t="n">
        <v>46273</v>
      </c>
      <c r="E168" s="1" t="n">
        <v>46310</v>
      </c>
      <c r="F168" t="inlineStr">
        <is>
          <t>ÖREBRO LÄN</t>
        </is>
      </c>
      <c r="G168" t="inlineStr">
        <is>
          <t>KARLSKOGA</t>
        </is>
      </c>
      <c r="I168" t="n">
        <v>15.8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35470-2024</t>
        </is>
      </c>
      <c r="B169" t="inlineStr">
        <is>
          <t>avverkningsanmälan</t>
        </is>
      </c>
      <c r="C169" t="inlineStr">
        <is>
          <t>Föryngringsavverkning</t>
        </is>
      </c>
      <c r="D169" s="1" t="n">
        <v>45531</v>
      </c>
      <c r="E169" s="1" t="n">
        <v>46310</v>
      </c>
      <c r="F169" t="inlineStr">
        <is>
          <t>ÖREBRO LÄN</t>
        </is>
      </c>
      <c r="G169" t="inlineStr">
        <is>
          <t>KARLSKOGA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35445-2024</t>
        </is>
      </c>
      <c r="B170" t="inlineStr">
        <is>
          <t>avverkningsanmälan</t>
        </is>
      </c>
      <c r="C170" t="inlineStr">
        <is>
          <t>Föryngringsavverkning</t>
        </is>
      </c>
      <c r="D170" s="1" t="n">
        <v>45531</v>
      </c>
      <c r="E170" s="1" t="n">
        <v>46310</v>
      </c>
      <c r="F170" t="inlineStr">
        <is>
          <t>ÖREBRO LÄN</t>
        </is>
      </c>
      <c r="G170" t="inlineStr">
        <is>
          <t>KARLSKOGA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47094-2023</t>
        </is>
      </c>
      <c r="B171" t="inlineStr">
        <is>
          <t>avverkningsanmälan</t>
        </is>
      </c>
      <c r="C171" t="inlineStr">
        <is>
          <t>Föryngringsavverkning</t>
        </is>
      </c>
      <c r="D171" s="1" t="n">
        <v>45196</v>
      </c>
      <c r="E171" s="1" t="n">
        <v>46310</v>
      </c>
      <c r="F171" t="inlineStr">
        <is>
          <t>ÖREBRO LÄN</t>
        </is>
      </c>
      <c r="G171" t="inlineStr">
        <is>
          <t>KARLSKOGA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38196-2024</t>
        </is>
      </c>
      <c r="B172" t="inlineStr">
        <is>
          <t>avverkningsanmälan</t>
        </is>
      </c>
      <c r="C172" t="inlineStr">
        <is>
          <t>Föryngringsavverkning</t>
        </is>
      </c>
      <c r="D172" s="1" t="n">
        <v>45545</v>
      </c>
      <c r="E172" s="1" t="n">
        <v>46310</v>
      </c>
      <c r="F172" t="inlineStr">
        <is>
          <t>ÖREBRO LÄN</t>
        </is>
      </c>
      <c r="G172" t="inlineStr">
        <is>
          <t>KARLSKOGA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38020-2026</t>
        </is>
      </c>
      <c r="B173" t="inlineStr">
        <is>
          <t>avverkningsanmälan</t>
        </is>
      </c>
      <c r="C173" t="inlineStr">
        <is>
          <t>Föryngringsavverkning</t>
        </is>
      </c>
      <c r="D173" s="1" t="n">
        <v>46280</v>
      </c>
      <c r="E173" s="1" t="n">
        <v>46310</v>
      </c>
      <c r="F173" t="inlineStr">
        <is>
          <t>ÖREBRO LÄN</t>
        </is>
      </c>
      <c r="G173" t="inlineStr">
        <is>
          <t>KARLSKOGA</t>
        </is>
      </c>
      <c r="H173" t="inlineStr">
        <is>
          <t>Sveaskog</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50611-2024</t>
        </is>
      </c>
      <c r="B174" t="inlineStr">
        <is>
          <t>avverkningsanmälan</t>
        </is>
      </c>
      <c r="C174" t="inlineStr">
        <is>
          <t>Föryngringsavverkning</t>
        </is>
      </c>
      <c r="D174" s="1" t="n">
        <v>45601</v>
      </c>
      <c r="E174" s="1" t="n">
        <v>46310</v>
      </c>
      <c r="F174" t="inlineStr">
        <is>
          <t>ÖREBRO LÄN</t>
        </is>
      </c>
      <c r="G174" t="inlineStr">
        <is>
          <t>KARLSKOGA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20289-2024</t>
        </is>
      </c>
      <c r="B175" t="inlineStr">
        <is>
          <t>avverkningsanmälan</t>
        </is>
      </c>
      <c r="C175" t="inlineStr">
        <is>
          <t>Föryngringsavverkning</t>
        </is>
      </c>
      <c r="D175" s="1" t="n">
        <v>45435</v>
      </c>
      <c r="E175" s="1" t="n">
        <v>46310</v>
      </c>
      <c r="F175" t="inlineStr">
        <is>
          <t>ÖREBRO LÄN</t>
        </is>
      </c>
      <c r="G175" t="inlineStr">
        <is>
          <t>KARLSKOGA</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20086-2024</t>
        </is>
      </c>
      <c r="B176" t="inlineStr">
        <is>
          <t>avverkningsanmälan</t>
        </is>
      </c>
      <c r="C176" t="inlineStr">
        <is>
          <t>Avverkning för annat ändamål</t>
        </is>
      </c>
      <c r="D176" s="1" t="n">
        <v>45434</v>
      </c>
      <c r="E176" s="1" t="n">
        <v>46310</v>
      </c>
      <c r="F176" t="inlineStr">
        <is>
          <t>ÖREBRO LÄN</t>
        </is>
      </c>
      <c r="G176" t="inlineStr">
        <is>
          <t>KARLSKOGA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13496-2025</t>
        </is>
      </c>
      <c r="B177" t="inlineStr">
        <is>
          <t>avverkningsanmälan</t>
        </is>
      </c>
      <c r="C177" t="inlineStr">
        <is>
          <t>Föryngringsavverkning</t>
        </is>
      </c>
      <c r="D177" s="1" t="n">
        <v>45736</v>
      </c>
      <c r="E177" s="1" t="n">
        <v>46310</v>
      </c>
      <c r="F177" t="inlineStr">
        <is>
          <t>ÖREBRO LÄN</t>
        </is>
      </c>
      <c r="G177" t="inlineStr">
        <is>
          <t>KARLSKOGA</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56887-2022</t>
        </is>
      </c>
      <c r="B178" t="inlineStr">
        <is>
          <t>avverkningsanmälan</t>
        </is>
      </c>
      <c r="C178" t="inlineStr">
        <is>
          <t>Föryngringsavverkning</t>
        </is>
      </c>
      <c r="D178" s="1" t="n">
        <v>44894</v>
      </c>
      <c r="E178" s="1" t="n">
        <v>46310</v>
      </c>
      <c r="F178" t="inlineStr">
        <is>
          <t>ÖREBRO LÄN</t>
        </is>
      </c>
      <c r="G178" t="inlineStr">
        <is>
          <t>KARLSKOGA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33011-2023</t>
        </is>
      </c>
      <c r="B179" t="inlineStr">
        <is>
          <t>avverkningsanmälan</t>
        </is>
      </c>
      <c r="C179" t="inlineStr">
        <is>
          <t>Föryngringsavverkning</t>
        </is>
      </c>
      <c r="D179" s="1" t="n">
        <v>45125</v>
      </c>
      <c r="E179" s="1" t="n">
        <v>46310</v>
      </c>
      <c r="F179" t="inlineStr">
        <is>
          <t>ÖREBRO LÄN</t>
        </is>
      </c>
      <c r="G179" t="inlineStr">
        <is>
          <t>KARLSKOGA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51344-2023</t>
        </is>
      </c>
      <c r="B180" t="inlineStr">
        <is>
          <t>avverkningsanmälan</t>
        </is>
      </c>
      <c r="C180" t="inlineStr">
        <is>
          <t>Föryngringsavverkning</t>
        </is>
      </c>
      <c r="D180" s="1" t="n">
        <v>45219</v>
      </c>
      <c r="E180" s="1" t="n">
        <v>46310</v>
      </c>
      <c r="F180" t="inlineStr">
        <is>
          <t>ÖREBRO LÄN</t>
        </is>
      </c>
      <c r="G180" t="inlineStr">
        <is>
          <t>KARLSKOGA</t>
        </is>
      </c>
      <c r="H180" t="inlineStr">
        <is>
          <t>Övriga Aktiebolag</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40554-2026</t>
        </is>
      </c>
      <c r="B181" t="inlineStr">
        <is>
          <t>avverkningsanmälan</t>
        </is>
      </c>
      <c r="C181" t="inlineStr">
        <is>
          <t>Föryngringsavverkning</t>
        </is>
      </c>
      <c r="D181" s="1" t="n">
        <v>46295</v>
      </c>
      <c r="E181" s="1" t="n">
        <v>46310</v>
      </c>
      <c r="F181" t="inlineStr">
        <is>
          <t>ÖREBRO LÄN</t>
        </is>
      </c>
      <c r="G181" t="inlineStr">
        <is>
          <t>KARLSKOGA</t>
        </is>
      </c>
      <c r="H181" t="inlineStr">
        <is>
          <t>Övriga Aktiebolag</t>
        </is>
      </c>
      <c r="I181" t="n">
        <v>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10515-2023</t>
        </is>
      </c>
      <c r="B182" t="inlineStr">
        <is>
          <t>avverkningsanmälan</t>
        </is>
      </c>
      <c r="C182" t="inlineStr">
        <is>
          <t>Föryngringsavverkning</t>
        </is>
      </c>
      <c r="D182" s="1" t="n">
        <v>44987</v>
      </c>
      <c r="E182" s="1" t="n">
        <v>46310</v>
      </c>
      <c r="F182" t="inlineStr">
        <is>
          <t>ÖREBRO LÄN</t>
        </is>
      </c>
      <c r="G182" t="inlineStr">
        <is>
          <t>KARLSKOGA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39337-2022</t>
        </is>
      </c>
      <c r="B183" t="inlineStr">
        <is>
          <t>avverkningsanmälan</t>
        </is>
      </c>
      <c r="C183" t="inlineStr">
        <is>
          <t>Föryngringsavverkning</t>
        </is>
      </c>
      <c r="D183" s="1" t="n">
        <v>44817</v>
      </c>
      <c r="E183" s="1" t="n">
        <v>46310</v>
      </c>
      <c r="F183" t="inlineStr">
        <is>
          <t>ÖREBRO LÄN</t>
        </is>
      </c>
      <c r="G183" t="inlineStr">
        <is>
          <t>KARLSKOGA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53620-2024</t>
        </is>
      </c>
      <c r="B184" t="inlineStr">
        <is>
          <t>avverkningsanmälan</t>
        </is>
      </c>
      <c r="C184" t="inlineStr">
        <is>
          <t>Föryngringsavverkning</t>
        </is>
      </c>
      <c r="D184" s="1" t="n">
        <v>45614</v>
      </c>
      <c r="E184" s="1" t="n">
        <v>46310</v>
      </c>
      <c r="F184" t="inlineStr">
        <is>
          <t>ÖREBRO LÄN</t>
        </is>
      </c>
      <c r="G184" t="inlineStr">
        <is>
          <t>KARLSKOGA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41305-2026</t>
        </is>
      </c>
      <c r="B185" t="inlineStr">
        <is>
          <t>avverkningsanmälan</t>
        </is>
      </c>
      <c r="C185" t="inlineStr">
        <is>
          <t>Föryngringsavverkning</t>
        </is>
      </c>
      <c r="D185" s="1" t="n">
        <v>46300</v>
      </c>
      <c r="E185" s="1" t="n">
        <v>46310</v>
      </c>
      <c r="F185" t="inlineStr">
        <is>
          <t>ÖREBRO LÄN</t>
        </is>
      </c>
      <c r="G185" t="inlineStr">
        <is>
          <t>KARLSKOGA</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13501-2025</t>
        </is>
      </c>
      <c r="B186" t="inlineStr">
        <is>
          <t>avverkningsanmälan</t>
        </is>
      </c>
      <c r="C186" t="inlineStr">
        <is>
          <t>Föryngringsavverkning</t>
        </is>
      </c>
      <c r="D186" s="1" t="n">
        <v>45736</v>
      </c>
      <c r="E186" s="1" t="n">
        <v>46310</v>
      </c>
      <c r="F186" t="inlineStr">
        <is>
          <t>ÖREBRO LÄN</t>
        </is>
      </c>
      <c r="G186" t="inlineStr">
        <is>
          <t>KARLSKOGA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10404-2022</t>
        </is>
      </c>
      <c r="B187" t="inlineStr">
        <is>
          <t>avverkningsanmälan</t>
        </is>
      </c>
      <c r="C187" t="inlineStr">
        <is>
          <t>Föryngringsavverkning</t>
        </is>
      </c>
      <c r="D187" s="1" t="n">
        <v>44623</v>
      </c>
      <c r="E187" s="1" t="n">
        <v>46310</v>
      </c>
      <c r="F187" t="inlineStr">
        <is>
          <t>ÖREBRO LÄN</t>
        </is>
      </c>
      <c r="G187" t="inlineStr">
        <is>
          <t>KARLSKOGA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38043-2026</t>
        </is>
      </c>
      <c r="B188" t="inlineStr">
        <is>
          <t>avverkningsanmälan</t>
        </is>
      </c>
      <c r="C188" t="inlineStr">
        <is>
          <t>Avverkning för annat ändamål</t>
        </is>
      </c>
      <c r="D188" s="1" t="n">
        <v>46280</v>
      </c>
      <c r="E188" s="1" t="n">
        <v>46310</v>
      </c>
      <c r="F188" t="inlineStr">
        <is>
          <t>ÖREBRO LÄN</t>
        </is>
      </c>
      <c r="G188" t="inlineStr">
        <is>
          <t>KARLSKOGA</t>
        </is>
      </c>
      <c r="H188" t="inlineStr">
        <is>
          <t>Kommuner</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41820-2026</t>
        </is>
      </c>
      <c r="B189" t="inlineStr">
        <is>
          <t>avverkningsanmälan</t>
        </is>
      </c>
      <c r="C189" t="inlineStr">
        <is>
          <t>Föryngringsavverkning</t>
        </is>
      </c>
      <c r="D189" s="1" t="n">
        <v>46303</v>
      </c>
      <c r="E189" s="1" t="n">
        <v>46310</v>
      </c>
      <c r="F189" t="inlineStr">
        <is>
          <t>ÖREBRO LÄN</t>
        </is>
      </c>
      <c r="G189" t="inlineStr">
        <is>
          <t>KARLSKOGA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35094-2026</t>
        </is>
      </c>
      <c r="B190" t="inlineStr">
        <is>
          <t>avverkningsanmälan</t>
        </is>
      </c>
      <c r="C190" t="inlineStr">
        <is>
          <t>Föryngringsavverkning</t>
        </is>
      </c>
      <c r="D190" s="1" t="n">
        <v>46260</v>
      </c>
      <c r="E190" s="1" t="n">
        <v>46310</v>
      </c>
      <c r="F190" t="inlineStr">
        <is>
          <t>ÖREBRO LÄN</t>
        </is>
      </c>
      <c r="G190" t="inlineStr">
        <is>
          <t>KARLSKOGA</t>
        </is>
      </c>
      <c r="H190" t="inlineStr">
        <is>
          <t>Kyrkan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38742-2023</t>
        </is>
      </c>
      <c r="B191" t="inlineStr">
        <is>
          <t>avverkningsanmälan</t>
        </is>
      </c>
      <c r="C191" t="inlineStr">
        <is>
          <t>Avverkning för annat ändamål</t>
        </is>
      </c>
      <c r="D191" s="1" t="n">
        <v>45161</v>
      </c>
      <c r="E191" s="1" t="n">
        <v>46310</v>
      </c>
      <c r="F191" t="inlineStr">
        <is>
          <t>ÖREBRO LÄN</t>
        </is>
      </c>
      <c r="G191" t="inlineStr">
        <is>
          <t>KARLSKOGA</t>
        </is>
      </c>
      <c r="H191" t="inlineStr">
        <is>
          <t>Övriga Aktiebolag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35699-2026</t>
        </is>
      </c>
      <c r="B192" t="inlineStr">
        <is>
          <t>avverkningsanmälan</t>
        </is>
      </c>
      <c r="C192" t="inlineStr">
        <is>
          <t>Avverkning för att bevara och utveckla /försöksver</t>
        </is>
      </c>
      <c r="D192" s="1" t="n">
        <v>46265</v>
      </c>
      <c r="E192" s="1" t="n">
        <v>46310</v>
      </c>
      <c r="F192" t="inlineStr">
        <is>
          <t>ÖREBRO LÄN</t>
        </is>
      </c>
      <c r="G192" t="inlineStr">
        <is>
          <t>KARLSKOGA</t>
        </is>
      </c>
      <c r="H192" t="inlineStr">
        <is>
          <t>Sveaskog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3735-2024</t>
        </is>
      </c>
      <c r="B193" t="inlineStr">
        <is>
          <t>avverkningsanmälan</t>
        </is>
      </c>
      <c r="C193" t="inlineStr">
        <is>
          <t>Föryngringsavverkning</t>
        </is>
      </c>
      <c r="D193" s="1" t="n">
        <v>45321</v>
      </c>
      <c r="E193" s="1" t="n">
        <v>46310</v>
      </c>
      <c r="F193" t="inlineStr">
        <is>
          <t>ÖREBRO LÄN</t>
        </is>
      </c>
      <c r="G193" t="inlineStr">
        <is>
          <t>KARLSKOGA</t>
        </is>
      </c>
      <c r="H193" t="inlineStr">
        <is>
          <t>Övriga Aktiebolag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23308-2025</t>
        </is>
      </c>
      <c r="B194" t="inlineStr">
        <is>
          <t>avverkningsanmälan</t>
        </is>
      </c>
      <c r="C194" t="inlineStr">
        <is>
          <t>Föryngringsavverkning</t>
        </is>
      </c>
      <c r="D194" s="1" t="n">
        <v>45791</v>
      </c>
      <c r="E194" s="1" t="n">
        <v>46310</v>
      </c>
      <c r="F194" t="inlineStr">
        <is>
          <t>ÖREBRO LÄN</t>
        </is>
      </c>
      <c r="G194" t="inlineStr">
        <is>
          <t>KARLSKOGA</t>
        </is>
      </c>
      <c r="I194" t="n">
        <v>1.5</v>
      </c>
      <c r="J194" t="n">
        <v>0</v>
      </c>
      <c r="K194" t="n">
        <v>0</v>
      </c>
      <c r="L194" t="n">
        <v>0</v>
      </c>
      <c r="M194" t="n">
        <v>0</v>
      </c>
      <c r="N194" t="n">
        <v>0</v>
      </c>
      <c r="O194" t="n">
        <v>0</v>
      </c>
      <c r="P194" t="n">
        <v>0</v>
      </c>
      <c r="Q194" t="n">
        <v>0</v>
      </c>
      <c r="R194" t="n">
        <v>0</v>
      </c>
      <c r="S194" t="n">
        <v>0</v>
      </c>
      <c r="T194" t="n">
        <v>0</v>
      </c>
      <c r="U194" t="n">
        <v>0</v>
      </c>
      <c r="V194" s="2" t="inlineStr"/>
    </row>
    <row r="195">
      <c r="A195" t="inlineStr">
        <is>
          <t>S 2960-2025</t>
        </is>
      </c>
      <c r="B195" t="inlineStr">
        <is>
          <t>samrådsanmälan</t>
        </is>
      </c>
      <c r="C195" t="inlineStr">
        <is>
          <t>Annan skogsbruksåtgärd</t>
        </is>
      </c>
      <c r="D195" s="1" t="n">
        <v>45953</v>
      </c>
      <c r="E195" s="1" t="n">
        <v>46310</v>
      </c>
      <c r="F195" t="inlineStr">
        <is>
          <t>ÖREBRO LÄN</t>
        </is>
      </c>
      <c r="G195" t="inlineStr">
        <is>
          <t>KARLSKOGA</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2026-10-15T02:07:16Z</dcterms:created>
  <dcterms:modified xmlns:dcterms="http://purl.org/dc/terms/" xmlns:xsi="http://www.w3.org/2001/XMLSchema-instance" xsi:type="dcterms:W3CDTF">2026-10-15T02:07:16Z</dcterms:modified>
</cp:coreProperties>
</file>