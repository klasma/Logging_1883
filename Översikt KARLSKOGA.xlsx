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45755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46597-2024</t>
        </is>
      </c>
      <c r="B8" s="1" t="n">
        <v>45582</v>
      </c>
      <c r="C8" s="1" t="n">
        <v>45755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Kattfotslav
Tjäder</t>
        </is>
      </c>
      <c r="S8">
        <f>HYPERLINK("https://klasma.github.io/Logging_1883/artfynd/A 46597-2024 artfynd.xlsx", "A 46597-2024")</f>
        <v/>
      </c>
      <c r="T8">
        <f>HYPERLINK("https://klasma.github.io/Logging_1883/kartor/A 46597-2024 karta.png", "A 46597-2024")</f>
        <v/>
      </c>
      <c r="V8">
        <f>HYPERLINK("https://klasma.github.io/Logging_1883/klagomål/A 46597-2024 FSC-klagomål.docx", "A 46597-2024")</f>
        <v/>
      </c>
      <c r="W8">
        <f>HYPERLINK("https://klasma.github.io/Logging_1883/klagomålsmail/A 46597-2024 FSC-klagomål mail.docx", "A 46597-2024")</f>
        <v/>
      </c>
      <c r="X8">
        <f>HYPERLINK("https://klasma.github.io/Logging_1883/tillsyn/A 46597-2024 tillsynsbegäran.docx", "A 46597-2024")</f>
        <v/>
      </c>
      <c r="Y8">
        <f>HYPERLINK("https://klasma.github.io/Logging_1883/tillsynsmail/A 46597-2024 tillsynsbegäran mail.docx", "A 46597-2024")</f>
        <v/>
      </c>
      <c r="Z8">
        <f>HYPERLINK("https://klasma.github.io/Logging_1883/fåglar/A 46597-2024 prioriterade fågelarter.docx", "A 46597-2024")</f>
        <v/>
      </c>
    </row>
    <row r="9" ht="15" customHeight="1">
      <c r="A9" t="inlineStr">
        <is>
          <t>A 15258-2025</t>
        </is>
      </c>
      <c r="B9" s="1" t="n">
        <v>45744</v>
      </c>
      <c r="C9" s="1" t="n">
        <v>45755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Järpe
Talltita
Tjäder</t>
        </is>
      </c>
      <c r="S9">
        <f>HYPERLINK("https://klasma.github.io/Logging_181883/artfynd/A 15258-2025 artfynd.xlsx", "A 15258-2025")</f>
        <v/>
      </c>
      <c r="T9">
        <f>HYPERLINK("https://klasma.github.io/Logging_181883/kartor/A 15258-2025 karta.png", "A 15258-2025")</f>
        <v/>
      </c>
      <c r="V9">
        <f>HYPERLINK("https://klasma.github.io/Logging_181883/klagomål/A 15258-2025 FSC-klagomål.docx", "A 15258-2025")</f>
        <v/>
      </c>
      <c r="W9">
        <f>HYPERLINK("https://klasma.github.io/Logging_181883/klagomålsmail/A 15258-2025 FSC-klagomål mail.docx", "A 15258-2025")</f>
        <v/>
      </c>
      <c r="X9">
        <f>HYPERLINK("https://klasma.github.io/Logging_181883/tillsyn/A 15258-2025 tillsynsbegäran.docx", "A 15258-2025")</f>
        <v/>
      </c>
      <c r="Y9">
        <f>HYPERLINK("https://klasma.github.io/Logging_181883/tillsynsmail/A 15258-2025 tillsynsbegäran mail.docx", "A 15258-2025")</f>
        <v/>
      </c>
      <c r="Z9">
        <f>HYPERLINK("https://klasma.github.io/Logging_181883/fåglar/A 15258-2025 prioriterade fågelarter.docx", "A 15258-2025")</f>
        <v/>
      </c>
    </row>
    <row r="10" ht="15" customHeight="1">
      <c r="A10" t="inlineStr">
        <is>
          <t>A 39825-2020</t>
        </is>
      </c>
      <c r="B10" s="1" t="n">
        <v>44067</v>
      </c>
      <c r="C10" s="1" t="n">
        <v>45755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Pärluggla</t>
        </is>
      </c>
      <c r="S10">
        <f>HYPERLINK("https://klasma.github.io/Logging_1883/artfynd/A 39825-2020 artfynd.xlsx", "A 39825-2020")</f>
        <v/>
      </c>
      <c r="T10">
        <f>HYPERLINK("https://klasma.github.io/Logging_1883/kartor/A 39825-2020 karta.png", "A 39825-2020")</f>
        <v/>
      </c>
      <c r="V10">
        <f>HYPERLINK("https://klasma.github.io/Logging_1883/klagomål/A 39825-2020 FSC-klagomål.docx", "A 39825-2020")</f>
        <v/>
      </c>
      <c r="W10">
        <f>HYPERLINK("https://klasma.github.io/Logging_1883/klagomålsmail/A 39825-2020 FSC-klagomål mail.docx", "A 39825-2020")</f>
        <v/>
      </c>
      <c r="X10">
        <f>HYPERLINK("https://klasma.github.io/Logging_1883/tillsyn/A 39825-2020 tillsynsbegäran.docx", "A 39825-2020")</f>
        <v/>
      </c>
      <c r="Y10">
        <f>HYPERLINK("https://klasma.github.io/Logging_1883/tillsynsmail/A 39825-2020 tillsynsbegäran mail.docx", "A 39825-2020")</f>
        <v/>
      </c>
      <c r="Z10">
        <f>HYPERLINK("https://klasma.github.io/Logging_1883/fåglar/A 39825-2020 prioriterade fågelarter.docx", "A 39825-2020")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45755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45755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45755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45755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45755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45755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45755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45755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45755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45755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45755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45755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45755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45755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45755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45755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45755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45755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45755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45755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45755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45755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45755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45755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45755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45755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45755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45755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45755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45755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45755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45755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45755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45755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45755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45755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45755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45755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45755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45755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45755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45755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45755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45755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45755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45755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45755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45755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45755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45755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45755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45755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45755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45755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45755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45755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45755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45755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45755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45755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45755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45755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45755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45755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45755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45755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45755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45755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45755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45755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45755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45755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45755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45755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45755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45755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45755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45755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45755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45755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45755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45755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45755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45755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45755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45755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45755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45755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45755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45755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45755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45755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45755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45755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45755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45755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45755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45755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45755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45755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45755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45755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45755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45755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45755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45755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45755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45755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45755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45755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45755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45755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45755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45755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45755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45755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45755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45755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45755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45755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45755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45755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45755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45755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45755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45755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45755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45755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45755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45755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45755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45755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45755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45755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45755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45755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45755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45755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45755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45755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45755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45755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45755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45755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45755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45755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45755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45755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45755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45755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45755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45755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45755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45755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45755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45755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45755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45755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45755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45755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45755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45755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45755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45755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45755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45755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45755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45755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45755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45755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45755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45755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45755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45755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45755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45755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45755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45755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45755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45755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45755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45755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45755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45755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45755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45755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45755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45755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45755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45755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45755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45755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45755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45755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45755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45755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45755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45755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45755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45755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45755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45755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45755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45755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45755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45755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45755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45755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45755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45755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45755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45755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45755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45755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45755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45755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45755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45755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45755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45755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45755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45755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45755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45755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45755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45755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45755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45755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45755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45755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45755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45755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45755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45755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45755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45755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45755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45755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45755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45755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45755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45755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45755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45755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45755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45755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45755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45755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45755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45755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45755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45755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45755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45755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45755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45755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45755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15269-2025</t>
        </is>
      </c>
      <c r="B391" s="1" t="n">
        <v>45744</v>
      </c>
      <c r="C391" s="1" t="n">
        <v>45755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45755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45755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45755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45755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16476-2025</t>
        </is>
      </c>
      <c r="B396" s="1" t="n">
        <v>45751</v>
      </c>
      <c r="C396" s="1" t="n">
        <v>45755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2025-04-08T16:52:18Z</dcterms:created>
  <dcterms:modified xmlns:dcterms="http://purl.org/dc/terms/" xmlns:xsi="http://www.w3.org/2001/XMLSchema-instance" xsi:type="dcterms:W3CDTF">2025-04-08T16:52:18Z</dcterms:modified>
</cp:coreProperties>
</file>