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3897-2024</t>
        </is>
      </c>
      <c r="B2" t="inlineStr">
        <is>
          <t>samrådsanmälan</t>
        </is>
      </c>
      <c r="C2" t="inlineStr">
        <is>
          <t>Skogsgödsling</t>
        </is>
      </c>
      <c r="D2" s="1" t="n">
        <v>45562</v>
      </c>
      <c r="E2" s="1" t="n">
        <v>46261</v>
      </c>
      <c r="F2" t="inlineStr">
        <is>
          <t>ÖREBRO LÄN</t>
        </is>
      </c>
      <c r="G2" t="inlineStr">
        <is>
          <t>KARLSKOGA</t>
        </is>
      </c>
      <c r="H2" t="inlineStr">
        <is>
          <t>Sveaskog</t>
        </is>
      </c>
      <c r="I2" t="n">
        <v>233.6</v>
      </c>
      <c r="J2" t="n">
        <v>15</v>
      </c>
      <c r="K2" t="n">
        <v>2</v>
      </c>
      <c r="L2" t="n">
        <v>14</v>
      </c>
      <c r="M2" t="n">
        <v>3</v>
      </c>
      <c r="N2" t="n">
        <v>0</v>
      </c>
      <c r="O2" t="n">
        <v>0</v>
      </c>
      <c r="P2" t="n">
        <v>0</v>
      </c>
      <c r="Q2" t="n">
        <v>17</v>
      </c>
      <c r="R2" t="n">
        <v>3</v>
      </c>
      <c r="S2" t="n">
        <v>28</v>
      </c>
      <c r="T2" t="n">
        <v>254</v>
      </c>
      <c r="U2" t="n">
        <v>250</v>
      </c>
      <c r="V2" s="2" t="inlineStr">
        <is>
          <t>Dvärglin
Garnlav
Gråtrut
Drillsnäppa
Dropptaggsvamp
Dvärgbägarlav
Kattfotslav
Kolflarnlav
Mörk kolflarnlav
Skuggblåslav
Strandlummer
Svinrot
Sädesärla
Talltita
Tretåig hackspett
Vedflamlav
Vedskivlav
Stor revmossa
Vedticka
Hårklomossa
Järpe
Spillkråka
Tjäder
Gröngöling
Orre
Smålom
Trana
Vanlig padda</t>
        </is>
      </c>
      <c r="W2">
        <f>HYPERLINK("https://klasma.github.io/Logging_1883/artfynd/S 3897-2024 artfynd.xlsx", "S 3897-2024")</f>
        <v/>
      </c>
      <c r="X2">
        <f>HYPERLINK("https://klasma.github.io/Logging_1883/kartor/S 3897-2024 karta.png", "S 3897-2024")</f>
        <v/>
      </c>
      <c r="Y2">
        <f>HYPERLINK("https://klasma.github.io/Logging_1883/kartor_geotiff/S 3897-2024 georefererad karta.tif", "S 3897-2024")</f>
        <v/>
      </c>
      <c r="AA2">
        <f>HYPERLINK("https://klasma.github.io/Logging_1883/klagomål/S 3897-2024 FSC-klagomål.docx", "S 3897-2024")</f>
        <v/>
      </c>
      <c r="AB2">
        <f>HYPERLINK("https://klasma.github.io/Logging_1883/klagomålsmail/S 3897-2024 FSC-klagomål mail.docx", "S 3897-2024")</f>
        <v/>
      </c>
      <c r="AC2">
        <f>HYPERLINK("https://klasma.github.io/Logging_1883/tillsyn/S 3897-2024 tillsynsbegäran.docx", "S 3897-2024")</f>
        <v/>
      </c>
      <c r="AD2">
        <f>HYPERLINK("https://klasma.github.io/Logging_1883/tillsynsmail/S 3897-2024 tillsynsbegäran mail.docx", "S 3897-2024")</f>
        <v/>
      </c>
      <c r="AE2">
        <f>HYPERLINK("https://klasma.github.io/Logging_1883/fåglar/S 3897-2024 prioriterade fågelarter.docx", "S 3897-2024")</f>
        <v/>
      </c>
    </row>
    <row r="3" ht="15" customHeight="1">
      <c r="A3" t="inlineStr">
        <is>
          <t>A 53025-2025</t>
        </is>
      </c>
      <c r="B3" t="inlineStr">
        <is>
          <t>avverkningsanmälan</t>
        </is>
      </c>
      <c r="C3" t="inlineStr">
        <is>
          <t>Föryngringsavverkning</t>
        </is>
      </c>
      <c r="D3" s="1" t="n">
        <v>45958</v>
      </c>
      <c r="E3" s="1" t="n">
        <v>46261</v>
      </c>
      <c r="F3" t="inlineStr">
        <is>
          <t>ÖREBRO LÄN</t>
        </is>
      </c>
      <c r="G3" t="inlineStr">
        <is>
          <t>KARLSKOGA</t>
        </is>
      </c>
      <c r="I3" t="n">
        <v>5.7</v>
      </c>
      <c r="J3" t="n">
        <v>1</v>
      </c>
      <c r="K3" t="n">
        <v>10</v>
      </c>
      <c r="L3" t="n">
        <v>6</v>
      </c>
      <c r="M3" t="n">
        <v>4</v>
      </c>
      <c r="N3" t="n">
        <v>0</v>
      </c>
      <c r="O3" t="n">
        <v>0</v>
      </c>
      <c r="P3" t="n">
        <v>0</v>
      </c>
      <c r="Q3" t="n">
        <v>11</v>
      </c>
      <c r="R3" t="n">
        <v>4</v>
      </c>
      <c r="S3" t="n">
        <v>22</v>
      </c>
      <c r="T3" t="n">
        <v>34</v>
      </c>
      <c r="U3" t="n">
        <v>1</v>
      </c>
      <c r="V3" s="2" t="inlineStr">
        <is>
          <t>Finporing
Honungsticka
Liten hornflikmossa
Pälsfrullania
Gransotdyna
Kandelabersvamp
Kötticka
Platt spretmossa
Storgröe
Veckticka
Ljungporing
Blåsfliksmossa
Dvärgkällmossa
Gulnål
Kornig nållav
Mörk husmossa
Piskbaronmossa
Platt fjädermossa
Svart trolldruva
Trind spretmossa
Trubbfjädermossa
Spillkråka</t>
        </is>
      </c>
      <c r="W3">
        <f>HYPERLINK("https://klasma.github.io/Logging_1883/artfynd/A 53025-2025 artfynd.xlsx", "A 53025-2025")</f>
        <v/>
      </c>
      <c r="X3">
        <f>HYPERLINK("https://klasma.github.io/Logging_1883/kartor/A 53025-2025 karta.png", "A 53025-2025")</f>
        <v/>
      </c>
      <c r="Y3">
        <f>HYPERLINK("https://klasma.github.io/Logging_1883/kartor_geotiff/A 53025-2025 georefererad karta.tif", "A 53025-2025")</f>
        <v/>
      </c>
      <c r="AA3">
        <f>HYPERLINK("https://klasma.github.io/Logging_1883/klagomål/A 53025-2025 FSC-klagomål.docx", "A 53025-2025")</f>
        <v/>
      </c>
      <c r="AB3">
        <f>HYPERLINK("https://klasma.github.io/Logging_1883/klagomålsmail/A 53025-2025 FSC-klagomål mail.docx", "A 53025-2025")</f>
        <v/>
      </c>
      <c r="AC3">
        <f>HYPERLINK("https://klasma.github.io/Logging_1883/tillsyn/A 53025-2025 tillsynsbegäran.docx", "A 53025-2025")</f>
        <v/>
      </c>
      <c r="AD3">
        <f>HYPERLINK("https://klasma.github.io/Logging_1883/tillsynsmail/A 53025-2025 tillsynsbegäran mail.docx", "A 53025-2025")</f>
        <v/>
      </c>
      <c r="AE3">
        <f>HYPERLINK("https://klasma.github.io/Logging_1883/fåglar/A 53025-2025 prioriterade fågelarter.docx", "A 53025-2025")</f>
        <v/>
      </c>
    </row>
    <row r="4" ht="15" customHeight="1">
      <c r="A4" t="inlineStr">
        <is>
          <t>A 59524-2025</t>
        </is>
      </c>
      <c r="B4" t="inlineStr">
        <is>
          <t>avverkningsanmälan</t>
        </is>
      </c>
      <c r="C4" t="inlineStr">
        <is>
          <t>Föryngringsavverkning</t>
        </is>
      </c>
      <c r="D4" s="1" t="n">
        <v>45989</v>
      </c>
      <c r="E4" s="1" t="n">
        <v>46261</v>
      </c>
      <c r="F4" t="inlineStr">
        <is>
          <t>ÖREBRO LÄN</t>
        </is>
      </c>
      <c r="G4" t="inlineStr">
        <is>
          <t>KARLSKOGA</t>
        </is>
      </c>
      <c r="H4" t="inlineStr">
        <is>
          <t>Sveaskog</t>
        </is>
      </c>
      <c r="I4" t="n">
        <v>4.6</v>
      </c>
      <c r="J4" t="n">
        <v>8</v>
      </c>
      <c r="K4" t="n">
        <v>5</v>
      </c>
      <c r="L4" t="n">
        <v>6</v>
      </c>
      <c r="M4" t="n">
        <v>1</v>
      </c>
      <c r="N4" t="n">
        <v>1</v>
      </c>
      <c r="O4" t="n">
        <v>0</v>
      </c>
      <c r="P4" t="n">
        <v>0</v>
      </c>
      <c r="Q4" t="n">
        <v>8</v>
      </c>
      <c r="R4" t="n">
        <v>2</v>
      </c>
      <c r="S4" t="n">
        <v>17</v>
      </c>
      <c r="T4" t="n">
        <v>42</v>
      </c>
      <c r="U4" t="n">
        <v>12</v>
      </c>
      <c r="V4" s="2" t="inlineStr">
        <is>
          <t>Pärluggla
Garnlav
Kolflarnlav
Orange taggsvamp
Sparvuggla
Talltita
Tretåig hackspett
Vedflamlav
Korallblylav
Mörk husmossa
Stor revmossa
Vedticka
Västlig hakmossa
Järpe
Tjäder
Havsörn
Orre</t>
        </is>
      </c>
      <c r="W4">
        <f>HYPERLINK("https://klasma.github.io/Logging_1883/artfynd/A 59524-2025 artfynd.xlsx", "A 59524-2025")</f>
        <v/>
      </c>
      <c r="X4">
        <f>HYPERLINK("https://klasma.github.io/Logging_1883/kartor/A 59524-2025 karta.png", "A 59524-2025")</f>
        <v/>
      </c>
      <c r="Y4">
        <f>HYPERLINK("https://klasma.github.io/Logging_1883/kartor_geotiff/A 59524-2025 georefererad karta.tif", "A 59524-2025")</f>
        <v/>
      </c>
      <c r="AA4">
        <f>HYPERLINK("https://klasma.github.io/Logging_1883/klagomål/A 59524-2025 FSC-klagomål.docx", "A 59524-2025")</f>
        <v/>
      </c>
      <c r="AB4">
        <f>HYPERLINK("https://klasma.github.io/Logging_1883/klagomålsmail/A 59524-2025 FSC-klagomål mail.docx", "A 59524-2025")</f>
        <v/>
      </c>
      <c r="AC4">
        <f>HYPERLINK("https://klasma.github.io/Logging_1883/tillsyn/A 59524-2025 tillsynsbegäran.docx", "A 59524-2025")</f>
        <v/>
      </c>
      <c r="AD4">
        <f>HYPERLINK("https://klasma.github.io/Logging_1883/tillsynsmail/A 59524-2025 tillsynsbegäran mail.docx", "A 59524-2025")</f>
        <v/>
      </c>
      <c r="AE4">
        <f>HYPERLINK("https://klasma.github.io/Logging_1883/fåglar/A 59524-2025 prioriterade fågelarter.docx", "A 59524-2025")</f>
        <v/>
      </c>
    </row>
    <row r="5" ht="15" customHeight="1">
      <c r="A5" t="inlineStr">
        <is>
          <t>A 64125-2021</t>
        </is>
      </c>
      <c r="B5" t="inlineStr">
        <is>
          <t>avverkningsanmälan</t>
        </is>
      </c>
      <c r="C5" t="inlineStr">
        <is>
          <t>Föryngringsavverkning</t>
        </is>
      </c>
      <c r="D5" s="1" t="n">
        <v>44510</v>
      </c>
      <c r="E5" s="1" t="n">
        <v>46261</v>
      </c>
      <c r="F5" t="inlineStr">
        <is>
          <t>ÖREBRO LÄN</t>
        </is>
      </c>
      <c r="G5" t="inlineStr">
        <is>
          <t>KARLSKOGA</t>
        </is>
      </c>
      <c r="I5" t="n">
        <v>6.5</v>
      </c>
      <c r="J5" t="n">
        <v>1</v>
      </c>
      <c r="K5" t="n">
        <v>11</v>
      </c>
      <c r="L5" t="n">
        <v>5</v>
      </c>
      <c r="M5" t="n">
        <v>0</v>
      </c>
      <c r="N5" t="n">
        <v>0</v>
      </c>
      <c r="O5" t="n">
        <v>0</v>
      </c>
      <c r="P5" t="n">
        <v>0</v>
      </c>
      <c r="Q5" t="n">
        <v>5</v>
      </c>
      <c r="R5" t="n">
        <v>0</v>
      </c>
      <c r="S5" t="n">
        <v>16</v>
      </c>
      <c r="T5" t="n">
        <v>27</v>
      </c>
      <c r="U5" t="n">
        <v>27</v>
      </c>
      <c r="V5" s="2" t="inlineStr">
        <is>
          <t>Gäckporing
Motaggsvamp
Stubbtrådmossa
Svartvit taggsvamp
Ullticka
Bronshjon
Flagellkvastmossa
Gulnål
Kornig nållav
Nordisk klipptuss
Rostfläck
Smal svampklubba
Stubbspretmossa
Trind spretmossa
Vedticka
Zontaggsvamp</t>
        </is>
      </c>
      <c r="W5">
        <f>HYPERLINK("https://klasma.github.io/Logging_1883/artfynd/A 64125-2021 artfynd.xlsx", "A 64125-2021")</f>
        <v/>
      </c>
      <c r="X5">
        <f>HYPERLINK("https://klasma.github.io/Logging_1883/kartor/A 64125-2021 karta.png", "A 64125-2021")</f>
        <v/>
      </c>
      <c r="Y5">
        <f>HYPERLINK("https://klasma.github.io/Logging_1883/kartor_geotiff/A 64125-2021 georefererad karta.tif", "A 64125-2021")</f>
        <v/>
      </c>
      <c r="AA5">
        <f>HYPERLINK("https://klasma.github.io/Logging_1883/klagomål/A 64125-2021 FSC-klagomål.docx", "A 64125-2021")</f>
        <v/>
      </c>
      <c r="AB5">
        <f>HYPERLINK("https://klasma.github.io/Logging_1883/klagomålsmail/A 64125-2021 FSC-klagomål mail.docx", "A 64125-2021")</f>
        <v/>
      </c>
      <c r="AC5">
        <f>HYPERLINK("https://klasma.github.io/Logging_1883/tillsyn/A 64125-2021 tillsynsbegäran.docx", "A 64125-2021")</f>
        <v/>
      </c>
      <c r="AD5">
        <f>HYPERLINK("https://klasma.github.io/Logging_1883/tillsynsmail/A 64125-2021 tillsynsbegäran mail.docx", "A 64125-2021")</f>
        <v/>
      </c>
    </row>
    <row r="6" ht="15" customHeight="1">
      <c r="A6" t="inlineStr">
        <is>
          <t>A 14339-2026</t>
        </is>
      </c>
      <c r="B6" t="inlineStr">
        <is>
          <t>avverkningsanmälan</t>
        </is>
      </c>
      <c r="C6" t="inlineStr">
        <is>
          <t>Föryngringsavverkning</t>
        </is>
      </c>
      <c r="D6" s="1" t="n">
        <v>46100</v>
      </c>
      <c r="E6" s="1" t="n">
        <v>46261</v>
      </c>
      <c r="F6" t="inlineStr">
        <is>
          <t>ÖREBRO LÄN</t>
        </is>
      </c>
      <c r="G6" t="inlineStr">
        <is>
          <t>KARLSKOGA</t>
        </is>
      </c>
      <c r="H6" t="inlineStr">
        <is>
          <t>Sveaskog</t>
        </is>
      </c>
      <c r="I6" t="n">
        <v>6.2</v>
      </c>
      <c r="J6" t="n">
        <v>5</v>
      </c>
      <c r="K6" t="n">
        <v>3</v>
      </c>
      <c r="L6" t="n">
        <v>6</v>
      </c>
      <c r="M6" t="n">
        <v>1</v>
      </c>
      <c r="N6" t="n">
        <v>0</v>
      </c>
      <c r="O6" t="n">
        <v>0</v>
      </c>
      <c r="P6" t="n">
        <v>0</v>
      </c>
      <c r="Q6" t="n">
        <v>7</v>
      </c>
      <c r="R6" t="n">
        <v>1</v>
      </c>
      <c r="S6" t="n">
        <v>14</v>
      </c>
      <c r="T6" t="n">
        <v>56</v>
      </c>
      <c r="U6" t="n">
        <v>50</v>
      </c>
      <c r="V6" s="2" t="inlineStr">
        <is>
          <t>Garnlav
Dropptaggsvamp
Grönhjon
Tallkötticka
Talltita
Vedflamlav
Vedskivlav
Blodticka
Gullgröppa
Vedticka
Mattlummer
Spillkråka
Tjäder
Smålom</t>
        </is>
      </c>
      <c r="W6">
        <f>HYPERLINK("https://klasma.github.io/Logging_1883/artfynd/A 14339-2026 artfynd.xlsx", "A 14339-2026")</f>
        <v/>
      </c>
      <c r="X6">
        <f>HYPERLINK("https://klasma.github.io/Logging_1883/kartor/A 14339-2026 karta.png", "A 14339-2026")</f>
        <v/>
      </c>
      <c r="Y6">
        <f>HYPERLINK("https://klasma.github.io/Logging_1883/kartor_geotiff/A 14339-2026 georefererad karta.tif", "A 14339-2026")</f>
        <v/>
      </c>
      <c r="AA6">
        <f>HYPERLINK("https://klasma.github.io/Logging_1883/klagomål/A 14339-2026 FSC-klagomål.docx", "A 14339-2026")</f>
        <v/>
      </c>
      <c r="AB6">
        <f>HYPERLINK("https://klasma.github.io/Logging_1883/klagomålsmail/A 14339-2026 FSC-klagomål mail.docx", "A 14339-2026")</f>
        <v/>
      </c>
      <c r="AC6">
        <f>HYPERLINK("https://klasma.github.io/Logging_1883/tillsyn/A 14339-2026 tillsynsbegäran.docx", "A 14339-2026")</f>
        <v/>
      </c>
      <c r="AD6">
        <f>HYPERLINK("https://klasma.github.io/Logging_1883/tillsynsmail/A 14339-2026 tillsynsbegäran mail.docx", "A 14339-2026")</f>
        <v/>
      </c>
      <c r="AE6">
        <f>HYPERLINK("https://klasma.github.io/Logging_1883/fåglar/A 14339-2026 prioriterade fågelarter.docx", "A 14339-2026")</f>
        <v/>
      </c>
    </row>
    <row r="7" ht="15" customHeight="1">
      <c r="A7" t="inlineStr">
        <is>
          <t>A 59523-2025</t>
        </is>
      </c>
      <c r="B7" t="inlineStr">
        <is>
          <t>avverkningsanmälan</t>
        </is>
      </c>
      <c r="C7" t="inlineStr">
        <is>
          <t>Föryngringsavverkning</t>
        </is>
      </c>
      <c r="D7" s="1" t="n">
        <v>45989</v>
      </c>
      <c r="E7" s="1" t="n">
        <v>46261</v>
      </c>
      <c r="F7" t="inlineStr">
        <is>
          <t>ÖREBRO LÄN</t>
        </is>
      </c>
      <c r="G7" t="inlineStr">
        <is>
          <t>KARLSKOGA</t>
        </is>
      </c>
      <c r="H7" t="inlineStr">
        <is>
          <t>Sveaskog</t>
        </is>
      </c>
      <c r="I7" t="n">
        <v>3.1</v>
      </c>
      <c r="J7" t="n">
        <v>5</v>
      </c>
      <c r="K7" t="n">
        <v>2</v>
      </c>
      <c r="L7" t="n">
        <v>3</v>
      </c>
      <c r="M7" t="n">
        <v>1</v>
      </c>
      <c r="N7" t="n">
        <v>1</v>
      </c>
      <c r="O7" t="n">
        <v>0</v>
      </c>
      <c r="P7" t="n">
        <v>0</v>
      </c>
      <c r="Q7" t="n">
        <v>5</v>
      </c>
      <c r="R7" t="n">
        <v>2</v>
      </c>
      <c r="S7" t="n">
        <v>10</v>
      </c>
      <c r="T7" t="n">
        <v>23</v>
      </c>
      <c r="U7" t="n">
        <v>6</v>
      </c>
      <c r="V7" s="2" t="inlineStr">
        <is>
          <t>Pärluggla
Garnlav
Kattfotslav
Skuggblåslav
Talltita
Stor revmossa
Vedticka
Järpe
Tjäder
Orre</t>
        </is>
      </c>
      <c r="W7">
        <f>HYPERLINK("https://klasma.github.io/Logging_1883/artfynd/A 59523-2025 artfynd.xlsx", "A 59523-2025")</f>
        <v/>
      </c>
      <c r="X7">
        <f>HYPERLINK("https://klasma.github.io/Logging_1883/kartor/A 59523-2025 karta.png", "A 59523-2025")</f>
        <v/>
      </c>
      <c r="Y7">
        <f>HYPERLINK("https://klasma.github.io/Logging_1883/kartor_geotiff/A 59523-2025 georefererad karta.tif", "A 59523-2025")</f>
        <v/>
      </c>
      <c r="AA7">
        <f>HYPERLINK("https://klasma.github.io/Logging_1883/klagomål/A 59523-2025 FSC-klagomål.docx", "A 59523-2025")</f>
        <v/>
      </c>
      <c r="AB7">
        <f>HYPERLINK("https://klasma.github.io/Logging_1883/klagomålsmail/A 59523-2025 FSC-klagomål mail.docx", "A 59523-2025")</f>
        <v/>
      </c>
      <c r="AC7">
        <f>HYPERLINK("https://klasma.github.io/Logging_1883/tillsyn/A 59523-2025 tillsynsbegäran.docx", "A 59523-2025")</f>
        <v/>
      </c>
      <c r="AD7">
        <f>HYPERLINK("https://klasma.github.io/Logging_1883/tillsynsmail/A 59523-2025 tillsynsbegäran mail.docx", "A 59523-2025")</f>
        <v/>
      </c>
      <c r="AE7">
        <f>HYPERLINK("https://klasma.github.io/Logging_1883/fåglar/A 59523-2025 prioriterade fågelarter.docx", "A 59523-2025")</f>
        <v/>
      </c>
    </row>
    <row r="8" ht="15" customHeight="1">
      <c r="A8" t="inlineStr">
        <is>
          <t>S 7441-2021</t>
        </is>
      </c>
      <c r="B8" t="inlineStr">
        <is>
          <t>samrådsanmälan</t>
        </is>
      </c>
      <c r="C8" t="inlineStr">
        <is>
          <t>Annan skogsbruksåtgärd</t>
        </is>
      </c>
      <c r="D8" s="1" t="n">
        <v>44473</v>
      </c>
      <c r="E8" s="1" t="n">
        <v>46261</v>
      </c>
      <c r="F8" t="inlineStr">
        <is>
          <t>ÖREBRO LÄN</t>
        </is>
      </c>
      <c r="G8" t="inlineStr">
        <is>
          <t>KARLSKOGA</t>
        </is>
      </c>
      <c r="H8" t="inlineStr">
        <is>
          <t>Kyrkan</t>
        </is>
      </c>
      <c r="I8" t="n">
        <v>0.3</v>
      </c>
      <c r="J8" t="n">
        <v>0</v>
      </c>
      <c r="K8" t="n">
        <v>5</v>
      </c>
      <c r="L8" t="n">
        <v>4</v>
      </c>
      <c r="M8" t="n">
        <v>1</v>
      </c>
      <c r="N8" t="n">
        <v>0</v>
      </c>
      <c r="O8" t="n">
        <v>0</v>
      </c>
      <c r="P8" t="n">
        <v>0</v>
      </c>
      <c r="Q8" t="n">
        <v>5</v>
      </c>
      <c r="R8" t="n">
        <v>1</v>
      </c>
      <c r="S8" t="n">
        <v>10</v>
      </c>
      <c r="T8" t="n">
        <v>23</v>
      </c>
      <c r="U8" t="n">
        <v>21</v>
      </c>
      <c r="V8" s="2" t="inlineStr">
        <is>
          <t>Kilporing
Gropticka
Rynkskinn
Storgröe
Ullticka
Brandticka
Bågpraktmossa
Mörk husmossa
Skogshakmossa
Springkorn</t>
        </is>
      </c>
      <c r="W8">
        <f>HYPERLINK("https://klasma.github.io/Logging_1883/artfynd/S 7441-2021 artfynd.xlsx", "S 7441-2021")</f>
        <v/>
      </c>
      <c r="X8">
        <f>HYPERLINK("https://klasma.github.io/Logging_1883/kartor/S 7441-2021 karta.png", "S 7441-2021")</f>
        <v/>
      </c>
      <c r="Y8">
        <f>HYPERLINK("https://klasma.github.io/Logging_1883/kartor_geotiff/S 7441-2021 georefererad karta.tif", "S 7441-2021")</f>
        <v/>
      </c>
      <c r="AA8">
        <f>HYPERLINK("https://klasma.github.io/Logging_1883/klagomål/S 7441-2021 FSC-klagomål.docx", "S 7441-2021")</f>
        <v/>
      </c>
      <c r="AB8">
        <f>HYPERLINK("https://klasma.github.io/Logging_1883/klagomålsmail/S 7441-2021 FSC-klagomål mail.docx", "S 7441-2021")</f>
        <v/>
      </c>
      <c r="AC8">
        <f>HYPERLINK("https://klasma.github.io/Logging_1883/tillsyn/S 7441-2021 tillsynsbegäran.docx", "S 7441-2021")</f>
        <v/>
      </c>
      <c r="AD8">
        <f>HYPERLINK("https://klasma.github.io/Logging_1883/tillsynsmail/S 7441-2021 tillsynsbegäran mail.docx", "S 7441-2021")</f>
        <v/>
      </c>
    </row>
    <row r="9" ht="15" customHeight="1">
      <c r="A9" t="inlineStr">
        <is>
          <t>A 8803-2026</t>
        </is>
      </c>
      <c r="B9" t="inlineStr">
        <is>
          <t>avverkningsanmälan</t>
        </is>
      </c>
      <c r="C9" t="inlineStr">
        <is>
          <t>Föryngringsavverkning</t>
        </is>
      </c>
      <c r="D9" s="1" t="n">
        <v>46066</v>
      </c>
      <c r="E9" s="1" t="n">
        <v>46261</v>
      </c>
      <c r="F9" t="inlineStr">
        <is>
          <t>ÖREBRO LÄN</t>
        </is>
      </c>
      <c r="G9" t="inlineStr">
        <is>
          <t>KARLSKOGA</t>
        </is>
      </c>
      <c r="I9" t="n">
        <v>2.7</v>
      </c>
      <c r="J9" t="n">
        <v>0</v>
      </c>
      <c r="K9" t="n">
        <v>3</v>
      </c>
      <c r="L9" t="n">
        <v>1</v>
      </c>
      <c r="M9" t="n">
        <v>0</v>
      </c>
      <c r="N9" t="n">
        <v>0</v>
      </c>
      <c r="O9" t="n">
        <v>0</v>
      </c>
      <c r="P9" t="n">
        <v>0</v>
      </c>
      <c r="Q9" t="n">
        <v>1</v>
      </c>
      <c r="R9" t="n">
        <v>0</v>
      </c>
      <c r="S9" t="n">
        <v>4</v>
      </c>
      <c r="T9" t="n">
        <v>8</v>
      </c>
      <c r="U9" t="n">
        <v>0</v>
      </c>
      <c r="V9" s="2" t="inlineStr">
        <is>
          <t>Dofttaggsvamp
Platt fjädermossa
Skogshakmossa
Trubbfjädermossa</t>
        </is>
      </c>
      <c r="W9">
        <f>HYPERLINK("https://klasma.github.io/Logging_1883/artfynd/A 8803-2026 artfynd.xlsx", "A 8803-2026")</f>
        <v/>
      </c>
      <c r="X9">
        <f>HYPERLINK("https://klasma.github.io/Logging_1883/kartor/A 8803-2026 karta.png", "A 8803-2026")</f>
        <v/>
      </c>
      <c r="Y9">
        <f>HYPERLINK("https://klasma.github.io/Logging_1883/kartor_geotiff/A 8803-2026 georefererad karta.tif", "A 8803-2026")</f>
        <v/>
      </c>
      <c r="AA9">
        <f>HYPERLINK("https://klasma.github.io/Logging_1883/klagomål/A 8803-2026 FSC-klagomål.docx", "A 8803-2026")</f>
        <v/>
      </c>
      <c r="AB9">
        <f>HYPERLINK("https://klasma.github.io/Logging_1883/klagomålsmail/A 8803-2026 FSC-klagomål mail.docx", "A 8803-2026")</f>
        <v/>
      </c>
      <c r="AC9">
        <f>HYPERLINK("https://klasma.github.io/Logging_1883/tillsyn/A 8803-2026 tillsynsbegäran.docx", "A 8803-2026")</f>
        <v/>
      </c>
      <c r="AD9">
        <f>HYPERLINK("https://klasma.github.io/Logging_1883/tillsynsmail/A 8803-2026 tillsynsbegäran mail.docx", "A 8803-2026")</f>
        <v/>
      </c>
    </row>
    <row r="10" ht="15" customHeight="1">
      <c r="A10" t="inlineStr">
        <is>
          <t>A 63187-2025</t>
        </is>
      </c>
      <c r="B10" t="inlineStr">
        <is>
          <t>avverkningsanmälan</t>
        </is>
      </c>
      <c r="C10" t="inlineStr">
        <is>
          <t>Föryngringsavverkning</t>
        </is>
      </c>
      <c r="D10" s="1" t="n">
        <v>46010</v>
      </c>
      <c r="E10" s="1" t="n">
        <v>46261</v>
      </c>
      <c r="F10" t="inlineStr">
        <is>
          <t>ÖREBRO LÄN</t>
        </is>
      </c>
      <c r="G10" t="inlineStr">
        <is>
          <t>KARLSKOGA</t>
        </is>
      </c>
      <c r="H10" t="inlineStr">
        <is>
          <t>Sveaskog</t>
        </is>
      </c>
      <c r="I10" t="n">
        <v>1.3</v>
      </c>
      <c r="J10" t="n">
        <v>2</v>
      </c>
      <c r="K10" t="n">
        <v>2</v>
      </c>
      <c r="L10" t="n">
        <v>1</v>
      </c>
      <c r="M10" t="n">
        <v>0</v>
      </c>
      <c r="N10" t="n">
        <v>0</v>
      </c>
      <c r="O10" t="n">
        <v>0</v>
      </c>
      <c r="P10" t="n">
        <v>0</v>
      </c>
      <c r="Q10" t="n">
        <v>1</v>
      </c>
      <c r="R10" t="n">
        <v>0</v>
      </c>
      <c r="S10" t="n">
        <v>4</v>
      </c>
      <c r="T10" t="n">
        <v>4</v>
      </c>
      <c r="U10" t="n">
        <v>0</v>
      </c>
      <c r="V10" s="2" t="inlineStr">
        <is>
          <t>Talltita
Bronshjon
Korallblylav
Tjäder</t>
        </is>
      </c>
      <c r="W10">
        <f>HYPERLINK("https://klasma.github.io/Logging_1883/artfynd/A 63187-2025 artfynd.xlsx", "A 63187-2025")</f>
        <v/>
      </c>
      <c r="X10">
        <f>HYPERLINK("https://klasma.github.io/Logging_1883/kartor/A 63187-2025 karta.png", "A 63187-2025")</f>
        <v/>
      </c>
      <c r="Y10">
        <f>HYPERLINK("https://klasma.github.io/Logging_1883/kartor_geotiff/A 63187-2025 georefererad karta.tif", "A 63187-2025")</f>
        <v/>
      </c>
      <c r="AA10">
        <f>HYPERLINK("https://klasma.github.io/Logging_1883/klagomål/A 63187-2025 FSC-klagomål.docx", "A 63187-2025")</f>
        <v/>
      </c>
      <c r="AB10">
        <f>HYPERLINK("https://klasma.github.io/Logging_1883/klagomålsmail/A 63187-2025 FSC-klagomål mail.docx", "A 63187-2025")</f>
        <v/>
      </c>
      <c r="AC10">
        <f>HYPERLINK("https://klasma.github.io/Logging_1883/tillsyn/A 63187-2025 tillsynsbegäran.docx", "A 63187-2025")</f>
        <v/>
      </c>
      <c r="AD10">
        <f>HYPERLINK("https://klasma.github.io/Logging_1883/tillsynsmail/A 63187-2025 tillsynsbegäran mail.docx", "A 63187-2025")</f>
        <v/>
      </c>
      <c r="AE10">
        <f>HYPERLINK("https://klasma.github.io/Logging_1883/fåglar/A 63187-2025 prioriterade fågelarter.docx", "A 63187-2025")</f>
        <v/>
      </c>
    </row>
    <row r="11" ht="15" customHeight="1">
      <c r="A11" t="inlineStr">
        <is>
          <t>A 20111-2026</t>
        </is>
      </c>
      <c r="B11" t="inlineStr">
        <is>
          <t>avverkningsanmälan</t>
        </is>
      </c>
      <c r="C11" t="inlineStr">
        <is>
          <t>Föryngringsavverkning</t>
        </is>
      </c>
      <c r="D11" s="1" t="n">
        <v>46136</v>
      </c>
      <c r="E11" s="1" t="n">
        <v>46261</v>
      </c>
      <c r="F11" t="inlineStr">
        <is>
          <t>ÖREBRO LÄN</t>
        </is>
      </c>
      <c r="G11" t="inlineStr">
        <is>
          <t>KARLSKOGA</t>
        </is>
      </c>
      <c r="H11" t="inlineStr">
        <is>
          <t>Sveaskog</t>
        </is>
      </c>
      <c r="I11" t="n">
        <v>8.699999999999999</v>
      </c>
      <c r="J11" t="n">
        <v>4</v>
      </c>
      <c r="K11" t="n">
        <v>0</v>
      </c>
      <c r="L11" t="n">
        <v>0</v>
      </c>
      <c r="M11" t="n">
        <v>0</v>
      </c>
      <c r="N11" t="n">
        <v>0</v>
      </c>
      <c r="O11" t="n">
        <v>0</v>
      </c>
      <c r="P11" t="n">
        <v>0</v>
      </c>
      <c r="Q11" t="n">
        <v>0</v>
      </c>
      <c r="R11" t="n">
        <v>0</v>
      </c>
      <c r="S11" t="n">
        <v>4</v>
      </c>
      <c r="T11" t="n">
        <v>7</v>
      </c>
      <c r="U11" t="n">
        <v>7</v>
      </c>
      <c r="V11" s="2" t="inlineStr">
        <is>
          <t>Spillkråka
Tjäder
Grönsiska
Kungsfågel</t>
        </is>
      </c>
      <c r="W11">
        <f>HYPERLINK("https://klasma.github.io/Logging_1883/artfynd/A 20111-2026 artfynd.xlsx", "A 20111-2026")</f>
        <v/>
      </c>
      <c r="X11">
        <f>HYPERLINK("https://klasma.github.io/Logging_1883/kartor/A 20111-2026 karta.png", "A 20111-2026")</f>
        <v/>
      </c>
      <c r="Y11">
        <f>HYPERLINK("https://klasma.github.io/Logging_1883/kartor_geotiff/A 20111-2026 georefererad karta.tif", "A 20111-2026")</f>
        <v/>
      </c>
      <c r="AA11">
        <f>HYPERLINK("https://klasma.github.io/Logging_1883/klagomål/A 20111-2026 FSC-klagomål.docx", "A 20111-2026")</f>
        <v/>
      </c>
      <c r="AB11">
        <f>HYPERLINK("https://klasma.github.io/Logging_1883/klagomålsmail/A 20111-2026 FSC-klagomål mail.docx", "A 20111-2026")</f>
        <v/>
      </c>
      <c r="AC11">
        <f>HYPERLINK("https://klasma.github.io/Logging_1883/tillsyn/A 20111-2026 tillsynsbegäran.docx", "A 20111-2026")</f>
        <v/>
      </c>
      <c r="AD11">
        <f>HYPERLINK("https://klasma.github.io/Logging_1883/tillsynsmail/A 20111-2026 tillsynsbegäran mail.docx", "A 20111-2026")</f>
        <v/>
      </c>
      <c r="AE11">
        <f>HYPERLINK("https://klasma.github.io/Logging_1883/fåglar/A 20111-2026 prioriterade fågelarter.docx", "A 20111-2026")</f>
        <v/>
      </c>
    </row>
    <row r="12" ht="15" customHeight="1">
      <c r="A12" t="inlineStr">
        <is>
          <t>A 60085-2021</t>
        </is>
      </c>
      <c r="B12" t="inlineStr">
        <is>
          <t>avverkningsanmälan</t>
        </is>
      </c>
      <c r="C12" t="inlineStr">
        <is>
          <t>Föryngringsavverkning</t>
        </is>
      </c>
      <c r="D12" s="1" t="n">
        <v>44495</v>
      </c>
      <c r="E12" s="1" t="n">
        <v>46261</v>
      </c>
      <c r="F12" t="inlineStr">
        <is>
          <t>ÖREBRO LÄN</t>
        </is>
      </c>
      <c r="G12" t="inlineStr">
        <is>
          <t>KARLSKOGA</t>
        </is>
      </c>
      <c r="I12" t="n">
        <v>3.6</v>
      </c>
      <c r="J12" t="n">
        <v>0</v>
      </c>
      <c r="K12" t="n">
        <v>3</v>
      </c>
      <c r="L12" t="n">
        <v>0</v>
      </c>
      <c r="M12" t="n">
        <v>1</v>
      </c>
      <c r="N12" t="n">
        <v>0</v>
      </c>
      <c r="O12" t="n">
        <v>0</v>
      </c>
      <c r="P12" t="n">
        <v>0</v>
      </c>
      <c r="Q12" t="n">
        <v>1</v>
      </c>
      <c r="R12" t="n">
        <v>1</v>
      </c>
      <c r="S12" t="n">
        <v>4</v>
      </c>
      <c r="T12" t="n">
        <v>5</v>
      </c>
      <c r="U12" t="n">
        <v>1</v>
      </c>
      <c r="V12" s="2" t="inlineStr">
        <is>
          <t>Citronfingersvamp
Mörk husmossa
Svart trolldruva
Västlig hakmossa</t>
        </is>
      </c>
      <c r="W12">
        <f>HYPERLINK("https://klasma.github.io/Logging_1883/artfynd/A 60085-2021 artfynd.xlsx", "A 60085-2021")</f>
        <v/>
      </c>
      <c r="X12">
        <f>HYPERLINK("https://klasma.github.io/Logging_1883/kartor/A 60085-2021 karta.png", "A 60085-2021")</f>
        <v/>
      </c>
      <c r="Y12">
        <f>HYPERLINK("https://klasma.github.io/Logging_1883/kartor_geotiff/A 60085-2021 georefererad karta.tif", "A 60085-2021")</f>
        <v/>
      </c>
      <c r="AA12">
        <f>HYPERLINK("https://klasma.github.io/Logging_1883/klagomål/A 60085-2021 FSC-klagomål.docx", "A 60085-2021")</f>
        <v/>
      </c>
      <c r="AB12">
        <f>HYPERLINK("https://klasma.github.io/Logging_1883/klagomålsmail/A 60085-2021 FSC-klagomål mail.docx", "A 60085-2021")</f>
        <v/>
      </c>
      <c r="AC12">
        <f>HYPERLINK("https://klasma.github.io/Logging_1883/tillsyn/A 60085-2021 tillsynsbegäran.docx", "A 60085-2021")</f>
        <v/>
      </c>
      <c r="AD12">
        <f>HYPERLINK("https://klasma.github.io/Logging_1883/tillsynsmail/A 60085-2021 tillsynsbegäran mail.docx", "A 60085-2021")</f>
        <v/>
      </c>
    </row>
    <row r="13" ht="15" customHeight="1">
      <c r="A13" t="inlineStr">
        <is>
          <t>A 44723-2021</t>
        </is>
      </c>
      <c r="B13" t="inlineStr">
        <is>
          <t>avverkningsanmälan</t>
        </is>
      </c>
      <c r="C13" t="inlineStr">
        <is>
          <t>Föryngringsavverkning</t>
        </is>
      </c>
      <c r="D13" s="1" t="n">
        <v>44438</v>
      </c>
      <c r="E13" s="1" t="n">
        <v>46261</v>
      </c>
      <c r="F13" t="inlineStr">
        <is>
          <t>ÖREBRO LÄN</t>
        </is>
      </c>
      <c r="G13" t="inlineStr">
        <is>
          <t>KARLSKOGA</t>
        </is>
      </c>
      <c r="I13" t="n">
        <v>0.6</v>
      </c>
      <c r="J13" t="n">
        <v>1</v>
      </c>
      <c r="K13" t="n">
        <v>1</v>
      </c>
      <c r="L13" t="n">
        <v>1</v>
      </c>
      <c r="M13" t="n">
        <v>0</v>
      </c>
      <c r="N13" t="n">
        <v>0</v>
      </c>
      <c r="O13" t="n">
        <v>0</v>
      </c>
      <c r="P13" t="n">
        <v>0</v>
      </c>
      <c r="Q13" t="n">
        <v>1</v>
      </c>
      <c r="R13" t="n">
        <v>0</v>
      </c>
      <c r="S13" t="n">
        <v>3</v>
      </c>
      <c r="T13" t="n">
        <v>3</v>
      </c>
      <c r="U13" t="n">
        <v>3</v>
      </c>
      <c r="V13" s="2" t="inlineStr">
        <is>
          <t>Kandelabersvamp
Rävticka
Blåsippa</t>
        </is>
      </c>
      <c r="W13">
        <f>HYPERLINK("https://klasma.github.io/Logging_1883/artfynd/A 44723-2021 artfynd.xlsx", "A 44723-2021")</f>
        <v/>
      </c>
      <c r="X13">
        <f>HYPERLINK("https://klasma.github.io/Logging_1883/kartor/A 44723-2021 karta.png", "A 44723-2021")</f>
        <v/>
      </c>
      <c r="Y13">
        <f>HYPERLINK("https://klasma.github.io/Logging_1883/kartor_geotiff/A 44723-2021 georefererad karta.tif", "A 44723-2021")</f>
        <v/>
      </c>
      <c r="AA13">
        <f>HYPERLINK("https://klasma.github.io/Logging_1883/klagomål/A 44723-2021 FSC-klagomål.docx", "A 44723-2021")</f>
        <v/>
      </c>
      <c r="AB13">
        <f>HYPERLINK("https://klasma.github.io/Logging_1883/klagomålsmail/A 44723-2021 FSC-klagomål mail.docx", "A 44723-2021")</f>
        <v/>
      </c>
      <c r="AC13">
        <f>HYPERLINK("https://klasma.github.io/Logging_1883/tillsyn/A 44723-2021 tillsynsbegäran.docx", "A 44723-2021")</f>
        <v/>
      </c>
      <c r="AD13">
        <f>HYPERLINK("https://klasma.github.io/Logging_1883/tillsynsmail/A 44723-2021 tillsynsbegäran mail.docx", "A 44723-2021")</f>
        <v/>
      </c>
    </row>
    <row r="14" ht="15" customHeight="1">
      <c r="A14" t="inlineStr">
        <is>
          <t>A 18428-2026</t>
        </is>
      </c>
      <c r="B14" t="inlineStr">
        <is>
          <t>avverkningsanmälan</t>
        </is>
      </c>
      <c r="C14" t="inlineStr">
        <is>
          <t>Föryngringsavverkning</t>
        </is>
      </c>
      <c r="D14" s="1" t="n">
        <v>46127</v>
      </c>
      <c r="E14" s="1" t="n">
        <v>46261</v>
      </c>
      <c r="F14" t="inlineStr">
        <is>
          <t>ÖREBRO LÄN</t>
        </is>
      </c>
      <c r="G14" t="inlineStr">
        <is>
          <t>KARLSKOGA</t>
        </is>
      </c>
      <c r="H14" t="inlineStr">
        <is>
          <t>Sveaskog</t>
        </is>
      </c>
      <c r="I14" t="n">
        <v>6</v>
      </c>
      <c r="J14" t="n">
        <v>1</v>
      </c>
      <c r="K14" t="n">
        <v>0</v>
      </c>
      <c r="L14" t="n">
        <v>1</v>
      </c>
      <c r="M14" t="n">
        <v>1</v>
      </c>
      <c r="N14" t="n">
        <v>0</v>
      </c>
      <c r="O14" t="n">
        <v>0</v>
      </c>
      <c r="P14" t="n">
        <v>0</v>
      </c>
      <c r="Q14" t="n">
        <v>2</v>
      </c>
      <c r="R14" t="n">
        <v>1</v>
      </c>
      <c r="S14" t="n">
        <v>3</v>
      </c>
      <c r="T14" t="n">
        <v>17</v>
      </c>
      <c r="U14" t="n">
        <v>17</v>
      </c>
      <c r="V14" s="2" t="inlineStr">
        <is>
          <t>Garnlav
Skuggblåslav
Tjäder</t>
        </is>
      </c>
      <c r="W14">
        <f>HYPERLINK("https://klasma.github.io/Logging_1883/artfynd/A 18428-2026 artfynd.xlsx", "A 18428-2026")</f>
        <v/>
      </c>
      <c r="X14">
        <f>HYPERLINK("https://klasma.github.io/Logging_1883/kartor/A 18428-2026 karta.png", "A 18428-2026")</f>
        <v/>
      </c>
      <c r="Y14">
        <f>HYPERLINK("https://klasma.github.io/Logging_1883/kartor_geotiff/A 18428-2026 georefererad karta.tif", "A 18428-2026")</f>
        <v/>
      </c>
      <c r="AA14">
        <f>HYPERLINK("https://klasma.github.io/Logging_1883/klagomål/A 18428-2026 FSC-klagomål.docx", "A 18428-2026")</f>
        <v/>
      </c>
      <c r="AB14">
        <f>HYPERLINK("https://klasma.github.io/Logging_1883/klagomålsmail/A 18428-2026 FSC-klagomål mail.docx", "A 18428-2026")</f>
        <v/>
      </c>
      <c r="AC14">
        <f>HYPERLINK("https://klasma.github.io/Logging_1883/tillsyn/A 18428-2026 tillsynsbegäran.docx", "A 18428-2026")</f>
        <v/>
      </c>
      <c r="AD14">
        <f>HYPERLINK("https://klasma.github.io/Logging_1883/tillsynsmail/A 18428-2026 tillsynsbegäran mail.docx", "A 18428-2026")</f>
        <v/>
      </c>
      <c r="AE14">
        <f>HYPERLINK("https://klasma.github.io/Logging_1883/fåglar/A 18428-2026 prioriterade fågelarter.docx", "A 18428-2026")</f>
        <v/>
      </c>
    </row>
    <row r="15" ht="15" customHeight="1">
      <c r="A15" t="inlineStr">
        <is>
          <t>A 20112-2026</t>
        </is>
      </c>
      <c r="B15" t="inlineStr">
        <is>
          <t>avverkningsanmälan</t>
        </is>
      </c>
      <c r="C15" t="inlineStr">
        <is>
          <t>Föryngringsavverkning</t>
        </is>
      </c>
      <c r="D15" s="1" t="n">
        <v>46136</v>
      </c>
      <c r="E15" s="1" t="n">
        <v>46261</v>
      </c>
      <c r="F15" t="inlineStr">
        <is>
          <t>ÖREBRO LÄN</t>
        </is>
      </c>
      <c r="G15" t="inlineStr">
        <is>
          <t>KARLSKOGA</t>
        </is>
      </c>
      <c r="H15" t="inlineStr">
        <is>
          <t>Sveaskog</t>
        </is>
      </c>
      <c r="I15" t="n">
        <v>2.9</v>
      </c>
      <c r="J15" t="n">
        <v>3</v>
      </c>
      <c r="K15" t="n">
        <v>0</v>
      </c>
      <c r="L15" t="n">
        <v>1</v>
      </c>
      <c r="M15" t="n">
        <v>0</v>
      </c>
      <c r="N15" t="n">
        <v>0</v>
      </c>
      <c r="O15" t="n">
        <v>0</v>
      </c>
      <c r="P15" t="n">
        <v>0</v>
      </c>
      <c r="Q15" t="n">
        <v>1</v>
      </c>
      <c r="R15" t="n">
        <v>0</v>
      </c>
      <c r="S15" t="n">
        <v>3</v>
      </c>
      <c r="T15" t="n">
        <v>4</v>
      </c>
      <c r="U15" t="n">
        <v>4</v>
      </c>
      <c r="V15" s="2" t="inlineStr">
        <is>
          <t>Tretåig hackspett
Spillkråka
Tofsmes</t>
        </is>
      </c>
      <c r="W15">
        <f>HYPERLINK("https://klasma.github.io/Logging_1883/artfynd/A 20112-2026 artfynd.xlsx", "A 20112-2026")</f>
        <v/>
      </c>
      <c r="X15">
        <f>HYPERLINK("https://klasma.github.io/Logging_1883/kartor/A 20112-2026 karta.png", "A 20112-2026")</f>
        <v/>
      </c>
      <c r="Y15">
        <f>HYPERLINK("https://klasma.github.io/Logging_1883/kartor_geotiff/A 20112-2026 georefererad karta.tif", "A 20112-2026")</f>
        <v/>
      </c>
      <c r="AA15">
        <f>HYPERLINK("https://klasma.github.io/Logging_1883/klagomål/A 20112-2026 FSC-klagomål.docx", "A 20112-2026")</f>
        <v/>
      </c>
      <c r="AB15">
        <f>HYPERLINK("https://klasma.github.io/Logging_1883/klagomålsmail/A 20112-2026 FSC-klagomål mail.docx", "A 20112-2026")</f>
        <v/>
      </c>
      <c r="AC15">
        <f>HYPERLINK("https://klasma.github.io/Logging_1883/tillsyn/A 20112-2026 tillsynsbegäran.docx", "A 20112-2026")</f>
        <v/>
      </c>
      <c r="AD15">
        <f>HYPERLINK("https://klasma.github.io/Logging_1883/tillsynsmail/A 20112-2026 tillsynsbegäran mail.docx", "A 20112-2026")</f>
        <v/>
      </c>
      <c r="AE15">
        <f>HYPERLINK("https://klasma.github.io/Logging_1883/fåglar/A 20112-2026 prioriterade fågelarter.docx", "A 20112-2026")</f>
        <v/>
      </c>
    </row>
    <row r="16" ht="15" customHeight="1">
      <c r="A16" t="inlineStr">
        <is>
          <t>A 20108-2026</t>
        </is>
      </c>
      <c r="B16" t="inlineStr">
        <is>
          <t>avverkningsanmälan</t>
        </is>
      </c>
      <c r="C16" t="inlineStr">
        <is>
          <t>Föryngringsavverkning</t>
        </is>
      </c>
      <c r="D16" s="1" t="n">
        <v>46136</v>
      </c>
      <c r="E16" s="1" t="n">
        <v>46261</v>
      </c>
      <c r="F16" t="inlineStr">
        <is>
          <t>ÖREBRO LÄN</t>
        </is>
      </c>
      <c r="G16" t="inlineStr">
        <is>
          <t>KARLSKOGA</t>
        </is>
      </c>
      <c r="H16" t="inlineStr">
        <is>
          <t>Sveaskog</t>
        </is>
      </c>
      <c r="I16" t="n">
        <v>0.8</v>
      </c>
      <c r="J16" t="n">
        <v>1</v>
      </c>
      <c r="K16" t="n">
        <v>1</v>
      </c>
      <c r="L16" t="n">
        <v>1</v>
      </c>
      <c r="M16" t="n">
        <v>1</v>
      </c>
      <c r="N16" t="n">
        <v>0</v>
      </c>
      <c r="O16" t="n">
        <v>0</v>
      </c>
      <c r="P16" t="n">
        <v>0</v>
      </c>
      <c r="Q16" t="n">
        <v>2</v>
      </c>
      <c r="R16" t="n">
        <v>1</v>
      </c>
      <c r="S16" t="n">
        <v>3</v>
      </c>
      <c r="T16" t="n">
        <v>5</v>
      </c>
      <c r="U16" t="n">
        <v>5</v>
      </c>
      <c r="V16" s="2" t="inlineStr">
        <is>
          <t>Garnlav
Talltita
Vedticka</t>
        </is>
      </c>
      <c r="W16">
        <f>HYPERLINK("https://klasma.github.io/Logging_1883/artfynd/A 20108-2026 artfynd.xlsx", "A 20108-2026")</f>
        <v/>
      </c>
      <c r="X16">
        <f>HYPERLINK("https://klasma.github.io/Logging_1883/kartor/A 20108-2026 karta.png", "A 20108-2026")</f>
        <v/>
      </c>
      <c r="Y16">
        <f>HYPERLINK("https://klasma.github.io/Logging_1883/kartor_geotiff/A 20108-2026 georefererad karta.tif", "A 20108-2026")</f>
        <v/>
      </c>
      <c r="AA16">
        <f>HYPERLINK("https://klasma.github.io/Logging_1883/klagomål/A 20108-2026 FSC-klagomål.docx", "A 20108-2026")</f>
        <v/>
      </c>
      <c r="AB16">
        <f>HYPERLINK("https://klasma.github.io/Logging_1883/klagomålsmail/A 20108-2026 FSC-klagomål mail.docx", "A 20108-2026")</f>
        <v/>
      </c>
      <c r="AC16">
        <f>HYPERLINK("https://klasma.github.io/Logging_1883/tillsyn/A 20108-2026 tillsynsbegäran.docx", "A 20108-2026")</f>
        <v/>
      </c>
      <c r="AD16">
        <f>HYPERLINK("https://klasma.github.io/Logging_1883/tillsynsmail/A 20108-2026 tillsynsbegäran mail.docx", "A 20108-2026")</f>
        <v/>
      </c>
      <c r="AE16">
        <f>HYPERLINK("https://klasma.github.io/Logging_1883/fåglar/A 20108-2026 prioriterade fågelarter.docx", "A 20108-2026")</f>
        <v/>
      </c>
    </row>
    <row r="17" ht="15" customHeight="1">
      <c r="A17" t="inlineStr">
        <is>
          <t>A 63185-2025</t>
        </is>
      </c>
      <c r="B17" t="inlineStr">
        <is>
          <t>avverkningsanmälan</t>
        </is>
      </c>
      <c r="C17" t="inlineStr">
        <is>
          <t>Avverkning för att bevara och utveckla /försöksver</t>
        </is>
      </c>
      <c r="D17" s="1" t="n">
        <v>46010</v>
      </c>
      <c r="E17" s="1" t="n">
        <v>46261</v>
      </c>
      <c r="F17" t="inlineStr">
        <is>
          <t>ÖREBRO LÄN</t>
        </is>
      </c>
      <c r="G17" t="inlineStr">
        <is>
          <t>KARLSKOGA</t>
        </is>
      </c>
      <c r="H17" t="inlineStr">
        <is>
          <t>Sveaskog</t>
        </is>
      </c>
      <c r="I17" t="n">
        <v>8.4</v>
      </c>
      <c r="J17" t="n">
        <v>2</v>
      </c>
      <c r="K17" t="n">
        <v>0</v>
      </c>
      <c r="L17" t="n">
        <v>1</v>
      </c>
      <c r="M17" t="n">
        <v>0</v>
      </c>
      <c r="N17" t="n">
        <v>0</v>
      </c>
      <c r="O17" t="n">
        <v>0</v>
      </c>
      <c r="P17" t="n">
        <v>0</v>
      </c>
      <c r="Q17" t="n">
        <v>1</v>
      </c>
      <c r="R17" t="n">
        <v>0</v>
      </c>
      <c r="S17" t="n">
        <v>3</v>
      </c>
      <c r="T17" t="n">
        <v>11</v>
      </c>
      <c r="U17" t="n">
        <v>9</v>
      </c>
      <c r="V17" s="2" t="inlineStr">
        <is>
          <t>Talltita
Brudborste
Revlummer</t>
        </is>
      </c>
      <c r="W17">
        <f>HYPERLINK("https://klasma.github.io/Logging_1883/artfynd/A 63185-2025 artfynd.xlsx", "A 63185-2025")</f>
        <v/>
      </c>
      <c r="X17">
        <f>HYPERLINK("https://klasma.github.io/Logging_1883/kartor/A 63185-2025 karta.png", "A 63185-2025")</f>
        <v/>
      </c>
      <c r="Y17">
        <f>HYPERLINK("https://klasma.github.io/Logging_1883/kartor_geotiff/A 63185-2025 georefererad karta.tif", "A 63185-2025")</f>
        <v/>
      </c>
      <c r="AA17">
        <f>HYPERLINK("https://klasma.github.io/Logging_1883/klagomål/A 63185-2025 FSC-klagomål.docx", "A 63185-2025")</f>
        <v/>
      </c>
      <c r="AB17">
        <f>HYPERLINK("https://klasma.github.io/Logging_1883/klagomålsmail/A 63185-2025 FSC-klagomål mail.docx", "A 63185-2025")</f>
        <v/>
      </c>
      <c r="AC17">
        <f>HYPERLINK("https://klasma.github.io/Logging_1883/tillsyn/A 63185-2025 tillsynsbegäran.docx", "A 63185-2025")</f>
        <v/>
      </c>
      <c r="AD17">
        <f>HYPERLINK("https://klasma.github.io/Logging_1883/tillsynsmail/A 63185-2025 tillsynsbegäran mail.docx", "A 63185-2025")</f>
        <v/>
      </c>
      <c r="AE17">
        <f>HYPERLINK("https://klasma.github.io/Logging_1883/fåglar/A 63185-2025 prioriterade fågelarter.docx", "A 63185-2025")</f>
        <v/>
      </c>
    </row>
    <row r="18" ht="15" customHeight="1">
      <c r="A18" t="inlineStr">
        <is>
          <t>S 3545-2025</t>
        </is>
      </c>
      <c r="B18" t="inlineStr">
        <is>
          <t>samrådsanmälan</t>
        </is>
      </c>
      <c r="C18" t="inlineStr">
        <is>
          <t>Annan skogsbruksåtgärd</t>
        </is>
      </c>
      <c r="D18" s="1" t="n">
        <v>46010</v>
      </c>
      <c r="E18" s="1" t="n">
        <v>46261</v>
      </c>
      <c r="F18" t="inlineStr">
        <is>
          <t>ÖREBRO LÄN</t>
        </is>
      </c>
      <c r="G18" t="inlineStr">
        <is>
          <t>KARLSKOGA</t>
        </is>
      </c>
      <c r="H18" t="inlineStr">
        <is>
          <t>Sveaskog</t>
        </is>
      </c>
      <c r="I18" t="n">
        <v>8.4</v>
      </c>
      <c r="J18" t="n">
        <v>2</v>
      </c>
      <c r="K18" t="n">
        <v>0</v>
      </c>
      <c r="L18" t="n">
        <v>1</v>
      </c>
      <c r="M18" t="n">
        <v>0</v>
      </c>
      <c r="N18" t="n">
        <v>0</v>
      </c>
      <c r="O18" t="n">
        <v>0</v>
      </c>
      <c r="P18" t="n">
        <v>0</v>
      </c>
      <c r="Q18" t="n">
        <v>1</v>
      </c>
      <c r="R18" t="n">
        <v>0</v>
      </c>
      <c r="S18" t="n">
        <v>3</v>
      </c>
      <c r="T18" t="n">
        <v>11</v>
      </c>
      <c r="U18" t="n">
        <v>9</v>
      </c>
      <c r="V18" s="2" t="inlineStr">
        <is>
          <t>Talltita
Brudborste
Revlummer</t>
        </is>
      </c>
      <c r="W18">
        <f>HYPERLINK("https://klasma.github.io/Logging_1883/artfynd/S 3545-2025 artfynd.xlsx", "S 3545-2025")</f>
        <v/>
      </c>
      <c r="X18">
        <f>HYPERLINK("https://klasma.github.io/Logging_1883/kartor/S 3545-2025 karta.png", "S 3545-2025")</f>
        <v/>
      </c>
      <c r="Y18">
        <f>HYPERLINK("https://klasma.github.io/Logging_1883/kartor_geotiff/S 3545-2025 georefererad karta.tif", "S 3545-2025")</f>
        <v/>
      </c>
      <c r="AA18">
        <f>HYPERLINK("https://klasma.github.io/Logging_1883/klagomål/S 3545-2025 FSC-klagomål.docx", "S 3545-2025")</f>
        <v/>
      </c>
      <c r="AB18">
        <f>HYPERLINK("https://klasma.github.io/Logging_1883/klagomålsmail/S 3545-2025 FSC-klagomål mail.docx", "S 3545-2025")</f>
        <v/>
      </c>
      <c r="AC18">
        <f>HYPERLINK("https://klasma.github.io/Logging_1883/tillsyn/S 3545-2025 tillsynsbegäran.docx", "S 3545-2025")</f>
        <v/>
      </c>
      <c r="AD18">
        <f>HYPERLINK("https://klasma.github.io/Logging_1883/tillsynsmail/S 3545-2025 tillsynsbegäran mail.docx", "S 3545-2025")</f>
        <v/>
      </c>
      <c r="AE18">
        <f>HYPERLINK("https://klasma.github.io/Logging_1883/fåglar/S 3545-2025 prioriterade fågelarter.docx", "S 3545-2025")</f>
        <v/>
      </c>
    </row>
    <row r="19" ht="15" customHeight="1">
      <c r="A19" t="inlineStr">
        <is>
          <t>A 39936-2024</t>
        </is>
      </c>
      <c r="B19" t="inlineStr">
        <is>
          <t>avverkningsanmälan</t>
        </is>
      </c>
      <c r="C19" t="inlineStr">
        <is>
          <t>Föryngringsavverkning</t>
        </is>
      </c>
      <c r="D19" s="1" t="n">
        <v>45553</v>
      </c>
      <c r="E19" s="1" t="n">
        <v>46261</v>
      </c>
      <c r="F19" t="inlineStr">
        <is>
          <t>ÖREBRO LÄN</t>
        </is>
      </c>
      <c r="G19" t="inlineStr">
        <is>
          <t>KARLSKOGA</t>
        </is>
      </c>
      <c r="I19" t="n">
        <v>6.4</v>
      </c>
      <c r="J19" t="n">
        <v>1</v>
      </c>
      <c r="K19" t="n">
        <v>0</v>
      </c>
      <c r="L19" t="n">
        <v>1</v>
      </c>
      <c r="M19" t="n">
        <v>0</v>
      </c>
      <c r="N19" t="n">
        <v>0</v>
      </c>
      <c r="O19" t="n">
        <v>0</v>
      </c>
      <c r="P19" t="n">
        <v>0</v>
      </c>
      <c r="Q19" t="n">
        <v>1</v>
      </c>
      <c r="R19" t="n">
        <v>0</v>
      </c>
      <c r="S19" t="n">
        <v>2</v>
      </c>
      <c r="T19" t="n">
        <v>3</v>
      </c>
      <c r="U19" t="n">
        <v>1</v>
      </c>
      <c r="V19" s="2" t="inlineStr">
        <is>
          <t>Storgröe
Utter</t>
        </is>
      </c>
      <c r="W19">
        <f>HYPERLINK("https://klasma.github.io/Logging_1883/artfynd/A 39936-2024 artfynd.xlsx", "A 39936-2024")</f>
        <v/>
      </c>
      <c r="X19">
        <f>HYPERLINK("https://klasma.github.io/Logging_1883/kartor/A 39936-2024 karta.png", "A 39936-2024")</f>
        <v/>
      </c>
      <c r="Y19">
        <f>HYPERLINK("https://klasma.github.io/Logging_1883/kartor_geotiff/A 39936-2024 georefererad karta.tif", "A 39936-2024")</f>
        <v/>
      </c>
      <c r="AA19">
        <f>HYPERLINK("https://klasma.github.io/Logging_1883/klagomål/A 39936-2024 FSC-klagomål.docx", "A 39936-2024")</f>
        <v/>
      </c>
      <c r="AB19">
        <f>HYPERLINK("https://klasma.github.io/Logging_1883/klagomålsmail/A 39936-2024 FSC-klagomål mail.docx", "A 39936-2024")</f>
        <v/>
      </c>
      <c r="AC19">
        <f>HYPERLINK("https://klasma.github.io/Logging_1883/tillsyn/A 39936-2024 tillsynsbegäran.docx", "A 39936-2024")</f>
        <v/>
      </c>
      <c r="AD19">
        <f>HYPERLINK("https://klasma.github.io/Logging_1883/tillsynsmail/A 39936-2024 tillsynsbegäran mail.docx", "A 39936-2024")</f>
        <v/>
      </c>
    </row>
    <row r="20" ht="15" customHeight="1">
      <c r="A20" t="inlineStr">
        <is>
          <t>A 39025-2022</t>
        </is>
      </c>
      <c r="B20" t="inlineStr">
        <is>
          <t>avverkningsanmälan</t>
        </is>
      </c>
      <c r="C20" t="inlineStr">
        <is>
          <t>Föryngringsavverkning</t>
        </is>
      </c>
      <c r="D20" s="1" t="n">
        <v>44817</v>
      </c>
      <c r="E20" s="1" t="n">
        <v>46261</v>
      </c>
      <c r="F20" t="inlineStr">
        <is>
          <t>ÖREBRO LÄN</t>
        </is>
      </c>
      <c r="G20" t="inlineStr">
        <is>
          <t>KARLSKOGA</t>
        </is>
      </c>
      <c r="H20" t="inlineStr">
        <is>
          <t>Sveaskog</t>
        </is>
      </c>
      <c r="I20" t="n">
        <v>3.2</v>
      </c>
      <c r="J20" t="n">
        <v>2</v>
      </c>
      <c r="K20" t="n">
        <v>0</v>
      </c>
      <c r="L20" t="n">
        <v>1</v>
      </c>
      <c r="M20" t="n">
        <v>0</v>
      </c>
      <c r="N20" t="n">
        <v>0</v>
      </c>
      <c r="O20" t="n">
        <v>0</v>
      </c>
      <c r="P20" t="n">
        <v>0</v>
      </c>
      <c r="Q20" t="n">
        <v>1</v>
      </c>
      <c r="R20" t="n">
        <v>0</v>
      </c>
      <c r="S20" t="n">
        <v>2</v>
      </c>
      <c r="T20" t="n">
        <v>2</v>
      </c>
      <c r="U20" t="n">
        <v>2</v>
      </c>
      <c r="V20" s="2" t="inlineStr">
        <is>
          <t>Talltita
Tjäder</t>
        </is>
      </c>
      <c r="W20">
        <f>HYPERLINK("https://klasma.github.io/Logging_1883/artfynd/A 39025-2022 artfynd.xlsx", "A 39025-2022")</f>
        <v/>
      </c>
      <c r="X20">
        <f>HYPERLINK("https://klasma.github.io/Logging_1883/kartor/A 39025-2022 karta.png", "A 39025-2022")</f>
        <v/>
      </c>
      <c r="Y20">
        <f>HYPERLINK("https://klasma.github.io/Logging_1883/kartor_geotiff/A 39025-2022 georefererad karta.tif", "A 39025-2022")</f>
        <v/>
      </c>
      <c r="AA20">
        <f>HYPERLINK("https://klasma.github.io/Logging_1883/klagomål/A 39025-2022 FSC-klagomål.docx", "A 39025-2022")</f>
        <v/>
      </c>
      <c r="AB20">
        <f>HYPERLINK("https://klasma.github.io/Logging_1883/klagomålsmail/A 39025-2022 FSC-klagomål mail.docx", "A 39025-2022")</f>
        <v/>
      </c>
      <c r="AC20">
        <f>HYPERLINK("https://klasma.github.io/Logging_1883/tillsyn/A 39025-2022 tillsynsbegäran.docx", "A 39025-2022")</f>
        <v/>
      </c>
      <c r="AD20">
        <f>HYPERLINK("https://klasma.github.io/Logging_1883/tillsynsmail/A 39025-2022 tillsynsbegäran mail.docx", "A 39025-2022")</f>
        <v/>
      </c>
      <c r="AE20">
        <f>HYPERLINK("https://klasma.github.io/Logging_1883/fåglar/A 39025-2022 prioriterade fågelarter.docx", "A 39025-2022")</f>
        <v/>
      </c>
    </row>
    <row r="21" ht="15" customHeight="1">
      <c r="A21" t="inlineStr">
        <is>
          <t>A 58091-2022</t>
        </is>
      </c>
      <c r="B21" t="inlineStr">
        <is>
          <t>avverkningsanmälan</t>
        </is>
      </c>
      <c r="C21" t="inlineStr">
        <is>
          <t>Föryngringsavverkning</t>
        </is>
      </c>
      <c r="D21" s="1" t="n">
        <v>44900</v>
      </c>
      <c r="E21" s="1" t="n">
        <v>46261</v>
      </c>
      <c r="F21" t="inlineStr">
        <is>
          <t>ÖREBRO LÄN</t>
        </is>
      </c>
      <c r="G21" t="inlineStr">
        <is>
          <t>KARLSKOGA</t>
        </is>
      </c>
      <c r="H21" t="inlineStr">
        <is>
          <t>Sveaskog</t>
        </is>
      </c>
      <c r="I21" t="n">
        <v>2.1</v>
      </c>
      <c r="J21" t="n">
        <v>1</v>
      </c>
      <c r="K21" t="n">
        <v>0</v>
      </c>
      <c r="L21" t="n">
        <v>0</v>
      </c>
      <c r="M21" t="n">
        <v>0</v>
      </c>
      <c r="N21" t="n">
        <v>0</v>
      </c>
      <c r="O21" t="n">
        <v>0</v>
      </c>
      <c r="P21" t="n">
        <v>0</v>
      </c>
      <c r="Q21" t="n">
        <v>0</v>
      </c>
      <c r="R21" t="n">
        <v>0</v>
      </c>
      <c r="S21" t="n">
        <v>1</v>
      </c>
      <c r="T21" t="n">
        <v>2</v>
      </c>
      <c r="U21" t="n">
        <v>0</v>
      </c>
      <c r="V21" s="2" t="inlineStr">
        <is>
          <t>Hårklomossa</t>
        </is>
      </c>
      <c r="W21">
        <f>HYPERLINK("https://klasma.github.io/Logging_1883/artfynd/A 58091-2022 artfynd.xlsx", "A 58091-2022")</f>
        <v/>
      </c>
      <c r="X21">
        <f>HYPERLINK("https://klasma.github.io/Logging_1883/kartor/A 58091-2022 karta.png", "A 58091-2022")</f>
        <v/>
      </c>
      <c r="Y21">
        <f>HYPERLINK("https://klasma.github.io/Logging_1883/kartor_geotiff/A 58091-2022 georefererad karta.tif", "A 58091-2022")</f>
        <v/>
      </c>
      <c r="AA21">
        <f>HYPERLINK("https://klasma.github.io/Logging_1883/klagomål/A 58091-2022 FSC-klagomål.docx", "A 58091-2022")</f>
        <v/>
      </c>
      <c r="AB21">
        <f>HYPERLINK("https://klasma.github.io/Logging_1883/klagomålsmail/A 58091-2022 FSC-klagomål mail.docx", "A 58091-2022")</f>
        <v/>
      </c>
      <c r="AC21">
        <f>HYPERLINK("https://klasma.github.io/Logging_1883/tillsyn/A 58091-2022 tillsynsbegäran.docx", "A 58091-2022")</f>
        <v/>
      </c>
      <c r="AD21">
        <f>HYPERLINK("https://klasma.github.io/Logging_1883/tillsynsmail/A 58091-2022 tillsynsbegäran mail.docx", "A 58091-2022")</f>
        <v/>
      </c>
    </row>
    <row r="22" ht="15" customHeight="1">
      <c r="A22" t="inlineStr">
        <is>
          <t>A 28566-2024</t>
        </is>
      </c>
      <c r="B22" t="inlineStr">
        <is>
          <t>avverkningsanmälan</t>
        </is>
      </c>
      <c r="C22" t="inlineStr">
        <is>
          <t>Föryngringsavverkning</t>
        </is>
      </c>
      <c r="D22" s="1" t="n">
        <v>45478</v>
      </c>
      <c r="E22" s="1" t="n">
        <v>46261</v>
      </c>
      <c r="F22" t="inlineStr">
        <is>
          <t>ÖREBRO LÄN</t>
        </is>
      </c>
      <c r="G22" t="inlineStr">
        <is>
          <t>KARLSKOGA</t>
        </is>
      </c>
      <c r="I22" t="n">
        <v>1</v>
      </c>
      <c r="J22" t="n">
        <v>1</v>
      </c>
      <c r="K22" t="n">
        <v>0</v>
      </c>
      <c r="L22" t="n">
        <v>0</v>
      </c>
      <c r="M22" t="n">
        <v>0</v>
      </c>
      <c r="N22" t="n">
        <v>0</v>
      </c>
      <c r="O22" t="n">
        <v>0</v>
      </c>
      <c r="P22" t="n">
        <v>0</v>
      </c>
      <c r="Q22" t="n">
        <v>0</v>
      </c>
      <c r="R22" t="n">
        <v>0</v>
      </c>
      <c r="S22" t="n">
        <v>1</v>
      </c>
      <c r="T22" t="n">
        <v>1</v>
      </c>
      <c r="U22" t="n">
        <v>1</v>
      </c>
      <c r="V22" s="2" t="inlineStr">
        <is>
          <t>Ärtsångare</t>
        </is>
      </c>
      <c r="W22">
        <f>HYPERLINK("https://klasma.github.io/Logging_1883/artfynd/A 28566-2024 artfynd.xlsx", "A 28566-2024")</f>
        <v/>
      </c>
      <c r="X22">
        <f>HYPERLINK("https://klasma.github.io/Logging_1883/kartor/A 28566-2024 karta.png", "A 28566-2024")</f>
        <v/>
      </c>
      <c r="Y22">
        <f>HYPERLINK("https://klasma.github.io/Logging_1883/kartor_geotiff/A 28566-2024 georefererad karta.tif", "A 28566-2024")</f>
        <v/>
      </c>
      <c r="AA22">
        <f>HYPERLINK("https://klasma.github.io/Logging_1883/klagomål/A 28566-2024 FSC-klagomål.docx", "A 28566-2024")</f>
        <v/>
      </c>
      <c r="AB22">
        <f>HYPERLINK("https://klasma.github.io/Logging_1883/klagomålsmail/A 28566-2024 FSC-klagomål mail.docx", "A 28566-2024")</f>
        <v/>
      </c>
      <c r="AC22">
        <f>HYPERLINK("https://klasma.github.io/Logging_1883/tillsyn/A 28566-2024 tillsynsbegäran.docx", "A 28566-2024")</f>
        <v/>
      </c>
      <c r="AD22">
        <f>HYPERLINK("https://klasma.github.io/Logging_1883/tillsynsmail/A 28566-2024 tillsynsbegäran mail.docx", "A 28566-2024")</f>
        <v/>
      </c>
    </row>
    <row r="23" ht="15" customHeight="1">
      <c r="A23" t="inlineStr">
        <is>
          <t>A 63188-2025</t>
        </is>
      </c>
      <c r="B23" t="inlineStr">
        <is>
          <t>avverkningsanmälan</t>
        </is>
      </c>
      <c r="C23" t="inlineStr">
        <is>
          <t>Föryngringsavverkning</t>
        </is>
      </c>
      <c r="D23" s="1" t="n">
        <v>46010</v>
      </c>
      <c r="E23" s="1" t="n">
        <v>46261</v>
      </c>
      <c r="F23" t="inlineStr">
        <is>
          <t>ÖREBRO LÄN</t>
        </is>
      </c>
      <c r="G23" t="inlineStr">
        <is>
          <t>KARLSKOGA</t>
        </is>
      </c>
      <c r="H23" t="inlineStr">
        <is>
          <t>Sveaskog</t>
        </is>
      </c>
      <c r="I23" t="n">
        <v>1.1</v>
      </c>
      <c r="J23" t="n">
        <v>1</v>
      </c>
      <c r="K23" t="n">
        <v>0</v>
      </c>
      <c r="L23" t="n">
        <v>1</v>
      </c>
      <c r="M23" t="n">
        <v>0</v>
      </c>
      <c r="N23" t="n">
        <v>0</v>
      </c>
      <c r="O23" t="n">
        <v>0</v>
      </c>
      <c r="P23" t="n">
        <v>0</v>
      </c>
      <c r="Q23" t="n">
        <v>1</v>
      </c>
      <c r="R23" t="n">
        <v>0</v>
      </c>
      <c r="S23" t="n">
        <v>1</v>
      </c>
      <c r="T23" t="n">
        <v>2</v>
      </c>
      <c r="U23" t="n">
        <v>2</v>
      </c>
      <c r="V23" s="2" t="inlineStr">
        <is>
          <t>Tretåig hackspett</t>
        </is>
      </c>
      <c r="W23">
        <f>HYPERLINK("https://klasma.github.io/Logging_1883/artfynd/A 63188-2025 artfynd.xlsx", "A 63188-2025")</f>
        <v/>
      </c>
      <c r="X23">
        <f>HYPERLINK("https://klasma.github.io/Logging_1883/kartor/A 63188-2025 karta.png", "A 63188-2025")</f>
        <v/>
      </c>
      <c r="Y23">
        <f>HYPERLINK("https://klasma.github.io/Logging_1883/kartor_geotiff/A 63188-2025 georefererad karta.tif", "A 63188-2025")</f>
        <v/>
      </c>
      <c r="AA23">
        <f>HYPERLINK("https://klasma.github.io/Logging_1883/klagomål/A 63188-2025 FSC-klagomål.docx", "A 63188-2025")</f>
        <v/>
      </c>
      <c r="AB23">
        <f>HYPERLINK("https://klasma.github.io/Logging_1883/klagomålsmail/A 63188-2025 FSC-klagomål mail.docx", "A 63188-2025")</f>
        <v/>
      </c>
      <c r="AC23">
        <f>HYPERLINK("https://klasma.github.io/Logging_1883/tillsyn/A 63188-2025 tillsynsbegäran.docx", "A 63188-2025")</f>
        <v/>
      </c>
      <c r="AD23">
        <f>HYPERLINK("https://klasma.github.io/Logging_1883/tillsynsmail/A 63188-2025 tillsynsbegäran mail.docx", "A 63188-2025")</f>
        <v/>
      </c>
      <c r="AE23">
        <f>HYPERLINK("https://klasma.github.io/Logging_1883/fåglar/A 63188-2025 prioriterade fågelarter.docx", "A 63188-2025")</f>
        <v/>
      </c>
    </row>
    <row r="24" ht="15" customHeight="1">
      <c r="A24" t="inlineStr">
        <is>
          <t>A 16784-2026</t>
        </is>
      </c>
      <c r="B24" t="inlineStr">
        <is>
          <t>avverkningsanmälan</t>
        </is>
      </c>
      <c r="C24" t="inlineStr">
        <is>
          <t>Föryngringsavverkning</t>
        </is>
      </c>
      <c r="D24" s="1" t="n">
        <v>46113</v>
      </c>
      <c r="E24" s="1" t="n">
        <v>46261</v>
      </c>
      <c r="F24" t="inlineStr">
        <is>
          <t>ÖREBRO LÄN</t>
        </is>
      </c>
      <c r="G24" t="inlineStr">
        <is>
          <t>KARLSKOGA</t>
        </is>
      </c>
      <c r="H24" t="inlineStr">
        <is>
          <t>Sveaskog</t>
        </is>
      </c>
      <c r="I24" t="n">
        <v>4.2</v>
      </c>
      <c r="J24" t="n">
        <v>1</v>
      </c>
      <c r="K24" t="n">
        <v>0</v>
      </c>
      <c r="L24" t="n">
        <v>0</v>
      </c>
      <c r="M24" t="n">
        <v>0</v>
      </c>
      <c r="N24" t="n">
        <v>0</v>
      </c>
      <c r="O24" t="n">
        <v>0</v>
      </c>
      <c r="P24" t="n">
        <v>0</v>
      </c>
      <c r="Q24" t="n">
        <v>0</v>
      </c>
      <c r="R24" t="n">
        <v>0</v>
      </c>
      <c r="S24" t="n">
        <v>1</v>
      </c>
      <c r="T24" t="n">
        <v>2</v>
      </c>
      <c r="U24" t="n">
        <v>0</v>
      </c>
      <c r="V24" s="2" t="inlineStr">
        <is>
          <t>Hårklomossa</t>
        </is>
      </c>
      <c r="W24">
        <f>HYPERLINK("https://klasma.github.io/Logging_1883/artfynd/A 16784-2026 artfynd.xlsx", "A 16784-2026")</f>
        <v/>
      </c>
      <c r="X24">
        <f>HYPERLINK("https://klasma.github.io/Logging_1883/kartor/A 16784-2026 karta.png", "A 16784-2026")</f>
        <v/>
      </c>
      <c r="Y24">
        <f>HYPERLINK("https://klasma.github.io/Logging_1883/kartor_geotiff/A 16784-2026 georefererad karta.tif", "A 16784-2026")</f>
        <v/>
      </c>
      <c r="AA24">
        <f>HYPERLINK("https://klasma.github.io/Logging_1883/klagomål/A 16784-2026 FSC-klagomål.docx", "A 16784-2026")</f>
        <v/>
      </c>
      <c r="AB24">
        <f>HYPERLINK("https://klasma.github.io/Logging_1883/klagomålsmail/A 16784-2026 FSC-klagomål mail.docx", "A 16784-2026")</f>
        <v/>
      </c>
      <c r="AC24">
        <f>HYPERLINK("https://klasma.github.io/Logging_1883/tillsyn/A 16784-2026 tillsynsbegäran.docx", "A 16784-2026")</f>
        <v/>
      </c>
      <c r="AD24">
        <f>HYPERLINK("https://klasma.github.io/Logging_1883/tillsynsmail/A 16784-2026 tillsynsbegäran mail.docx", "A 16784-2026")</f>
        <v/>
      </c>
    </row>
    <row r="25" ht="15" customHeight="1">
      <c r="A25" t="inlineStr">
        <is>
          <t>A 52377-2025</t>
        </is>
      </c>
      <c r="B25" t="inlineStr">
        <is>
          <t>avverkningsanmälan</t>
        </is>
      </c>
      <c r="C25" t="inlineStr">
        <is>
          <t>Föryngringsavverkning</t>
        </is>
      </c>
      <c r="D25" s="1" t="n">
        <v>45953</v>
      </c>
      <c r="E25" s="1" t="n">
        <v>46261</v>
      </c>
      <c r="F25" t="inlineStr">
        <is>
          <t>ÖREBRO LÄN</t>
        </is>
      </c>
      <c r="G25" t="inlineStr">
        <is>
          <t>KARLSKOGA</t>
        </is>
      </c>
      <c r="H25" t="inlineStr">
        <is>
          <t>Sveaskog</t>
        </is>
      </c>
      <c r="I25" t="n">
        <v>2.6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HYPERLINK("https://klasma.github.io/Logging_1883/artfynd/A 52377-2025 artfynd.xlsx", "A 52377-2025")</f>
        <v/>
      </c>
      <c r="X25">
        <f>HYPERLINK("https://klasma.github.io/Logging_1883/kartor/A 52377-2025 karta.png", "A 52377-2025")</f>
        <v/>
      </c>
      <c r="Y25">
        <f>HYPERLINK("https://klasma.github.io/Logging_1883/kartor_geotiff/A 52377-2025 georefererad karta.tif", "A 52377-2025")</f>
        <v/>
      </c>
      <c r="AA25">
        <f>HYPERLINK("https://klasma.github.io/Logging_1883/klagomål/A 52377-2025 FSC-klagomål.docx", "A 52377-2025")</f>
        <v/>
      </c>
      <c r="AB25">
        <f>HYPERLINK("https://klasma.github.io/Logging_1883/klagomålsmail/A 52377-2025 FSC-klagomål mail.docx", "A 52377-2025")</f>
        <v/>
      </c>
      <c r="AC25">
        <f>HYPERLINK("https://klasma.github.io/Logging_1883/tillsyn/A 52377-2025 tillsynsbegäran.docx", "A 52377-2025")</f>
        <v/>
      </c>
      <c r="AD25">
        <f>HYPERLINK("https://klasma.github.io/Logging_1883/tillsynsmail/A 52377-2025 tillsynsbegäran mail.docx", "A 52377-2025")</f>
        <v/>
      </c>
    </row>
    <row r="26" ht="15" customHeight="1">
      <c r="A26" t="inlineStr">
        <is>
          <t>A 18427-2026</t>
        </is>
      </c>
      <c r="B26" t="inlineStr">
        <is>
          <t>avverkningsanmälan</t>
        </is>
      </c>
      <c r="C26" t="inlineStr">
        <is>
          <t>Föryngringsavverkning</t>
        </is>
      </c>
      <c r="D26" s="1" t="n">
        <v>46127</v>
      </c>
      <c r="E26" s="1" t="n">
        <v>46261</v>
      </c>
      <c r="F26" t="inlineStr">
        <is>
          <t>ÖREBRO LÄN</t>
        </is>
      </c>
      <c r="G26" t="inlineStr">
        <is>
          <t>KARLSKOGA</t>
        </is>
      </c>
      <c r="H26" t="inlineStr">
        <is>
          <t>Sveaskog</t>
        </is>
      </c>
      <c r="I26" t="n">
        <v>3</v>
      </c>
      <c r="J26" t="n">
        <v>1</v>
      </c>
      <c r="K26" t="n">
        <v>0</v>
      </c>
      <c r="L26" t="n">
        <v>0</v>
      </c>
      <c r="M26" t="n">
        <v>0</v>
      </c>
      <c r="N26" t="n">
        <v>0</v>
      </c>
      <c r="O26" t="n">
        <v>0</v>
      </c>
      <c r="P26" t="n">
        <v>0</v>
      </c>
      <c r="Q26" t="n">
        <v>0</v>
      </c>
      <c r="R26" t="n">
        <v>0</v>
      </c>
      <c r="S26" t="n">
        <v>1</v>
      </c>
      <c r="T26" t="n">
        <v>1</v>
      </c>
      <c r="U26" t="n">
        <v>1</v>
      </c>
      <c r="V26" s="2" t="inlineStr">
        <is>
          <t>Tjäder</t>
        </is>
      </c>
      <c r="W26">
        <f>HYPERLINK("https://klasma.github.io/Logging_1883/artfynd/A 18427-2026 artfynd.xlsx", "A 18427-2026")</f>
        <v/>
      </c>
      <c r="X26">
        <f>HYPERLINK("https://klasma.github.io/Logging_1883/kartor/A 18427-2026 karta.png", "A 18427-2026")</f>
        <v/>
      </c>
      <c r="Y26">
        <f>HYPERLINK("https://klasma.github.io/Logging_1883/kartor_geotiff/A 18427-2026 georefererad karta.tif", "A 18427-2026")</f>
        <v/>
      </c>
      <c r="AA26">
        <f>HYPERLINK("https://klasma.github.io/Logging_1883/klagomål/A 18427-2026 FSC-klagomål.docx", "A 18427-2026")</f>
        <v/>
      </c>
      <c r="AB26">
        <f>HYPERLINK("https://klasma.github.io/Logging_1883/klagomålsmail/A 18427-2026 FSC-klagomål mail.docx", "A 18427-2026")</f>
        <v/>
      </c>
      <c r="AC26">
        <f>HYPERLINK("https://klasma.github.io/Logging_1883/tillsyn/A 18427-2026 tillsynsbegäran.docx", "A 18427-2026")</f>
        <v/>
      </c>
      <c r="AD26">
        <f>HYPERLINK("https://klasma.github.io/Logging_1883/tillsynsmail/A 18427-2026 tillsynsbegäran mail.docx", "A 18427-2026")</f>
        <v/>
      </c>
      <c r="AE26">
        <f>HYPERLINK("https://klasma.github.io/Logging_1883/fåglar/A 18427-2026 prioriterade fågelarter.docx", "A 18427-2026")</f>
        <v/>
      </c>
    </row>
    <row r="27" ht="15" customHeight="1">
      <c r="A27" t="inlineStr">
        <is>
          <t>A 19233-2026</t>
        </is>
      </c>
      <c r="B27" t="inlineStr">
        <is>
          <t>avverkningsanmälan</t>
        </is>
      </c>
      <c r="C27" t="inlineStr">
        <is>
          <t>Föryngringsavverkning</t>
        </is>
      </c>
      <c r="D27" s="1" t="n">
        <v>46132</v>
      </c>
      <c r="E27" s="1" t="n">
        <v>46261</v>
      </c>
      <c r="F27" t="inlineStr">
        <is>
          <t>ÖREBRO LÄN</t>
        </is>
      </c>
      <c r="G27" t="inlineStr">
        <is>
          <t>KARLSKOGA</t>
        </is>
      </c>
      <c r="I27" t="n">
        <v>1.6</v>
      </c>
      <c r="J27" t="n">
        <v>0</v>
      </c>
      <c r="K27" t="n">
        <v>1</v>
      </c>
      <c r="L27" t="n">
        <v>0</v>
      </c>
      <c r="M27" t="n">
        <v>0</v>
      </c>
      <c r="N27" t="n">
        <v>0</v>
      </c>
      <c r="O27" t="n">
        <v>0</v>
      </c>
      <c r="P27" t="n">
        <v>0</v>
      </c>
      <c r="Q27" t="n">
        <v>0</v>
      </c>
      <c r="R27" t="n">
        <v>0</v>
      </c>
      <c r="S27" t="n">
        <v>1</v>
      </c>
      <c r="T27" t="n">
        <v>1</v>
      </c>
      <c r="U27" t="n">
        <v>0</v>
      </c>
      <c r="V27" s="2" t="inlineStr">
        <is>
          <t>Svart trolldruva</t>
        </is>
      </c>
      <c r="W27">
        <f>HYPERLINK("https://klasma.github.io/Logging_1883/artfynd/A 19233-2026 artfynd.xlsx", "A 19233-2026")</f>
        <v/>
      </c>
      <c r="X27">
        <f>HYPERLINK("https://klasma.github.io/Logging_1883/kartor/A 19233-2026 karta.png", "A 19233-2026")</f>
        <v/>
      </c>
      <c r="Y27">
        <f>HYPERLINK("https://klasma.github.io/Logging_1883/kartor_geotiff/A 19233-2026 georefererad karta.tif", "A 19233-2026")</f>
        <v/>
      </c>
      <c r="AA27">
        <f>HYPERLINK("https://klasma.github.io/Logging_1883/klagomål/A 19233-2026 FSC-klagomål.docx", "A 19233-2026")</f>
        <v/>
      </c>
      <c r="AB27">
        <f>HYPERLINK("https://klasma.github.io/Logging_1883/klagomålsmail/A 19233-2026 FSC-klagomål mail.docx", "A 19233-2026")</f>
        <v/>
      </c>
      <c r="AC27">
        <f>HYPERLINK("https://klasma.github.io/Logging_1883/tillsyn/A 19233-2026 tillsynsbegäran.docx", "A 19233-2026")</f>
        <v/>
      </c>
      <c r="AD27">
        <f>HYPERLINK("https://klasma.github.io/Logging_1883/tillsynsmail/A 19233-2026 tillsynsbegäran mail.docx", "A 19233-2026")</f>
        <v/>
      </c>
    </row>
    <row r="28" ht="15" customHeight="1">
      <c r="A28" t="inlineStr">
        <is>
          <t>A 20110-2026</t>
        </is>
      </c>
      <c r="B28" t="inlineStr">
        <is>
          <t>avverkningsanmälan</t>
        </is>
      </c>
      <c r="C28" t="inlineStr">
        <is>
          <t>Föryngringsavverkning</t>
        </is>
      </c>
      <c r="D28" s="1" t="n">
        <v>46136</v>
      </c>
      <c r="E28" s="1" t="n">
        <v>46261</v>
      </c>
      <c r="F28" t="inlineStr">
        <is>
          <t>ÖREBRO LÄN</t>
        </is>
      </c>
      <c r="G28" t="inlineStr">
        <is>
          <t>KARLSKOGA</t>
        </is>
      </c>
      <c r="H28" t="inlineStr">
        <is>
          <t>Sveaskog</t>
        </is>
      </c>
      <c r="I28" t="n">
        <v>5.4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HYPERLINK("https://klasma.github.io/Logging_1883/artfynd/A 20110-2026 artfynd.xlsx", "A 20110-2026")</f>
        <v/>
      </c>
      <c r="X28">
        <f>HYPERLINK("https://klasma.github.io/Logging_1883/kartor/A 20110-2026 karta.png", "A 20110-2026")</f>
        <v/>
      </c>
      <c r="Y28">
        <f>HYPERLINK("https://klasma.github.io/Logging_1883/kartor_geotiff/A 20110-2026 georefererad karta.tif", "A 20110-2026")</f>
        <v/>
      </c>
      <c r="AA28">
        <f>HYPERLINK("https://klasma.github.io/Logging_1883/klagomål/A 20110-2026 FSC-klagomål.docx", "A 20110-2026")</f>
        <v/>
      </c>
      <c r="AB28">
        <f>HYPERLINK("https://klasma.github.io/Logging_1883/klagomålsmail/A 20110-2026 FSC-klagomål mail.docx", "A 20110-2026")</f>
        <v/>
      </c>
      <c r="AC28">
        <f>HYPERLINK("https://klasma.github.io/Logging_1883/tillsyn/A 20110-2026 tillsynsbegäran.docx", "A 20110-2026")</f>
        <v/>
      </c>
      <c r="AD28">
        <f>HYPERLINK("https://klasma.github.io/Logging_1883/tillsynsmail/A 20110-2026 tillsynsbegäran mail.docx", "A 20110-2026")</f>
        <v/>
      </c>
    </row>
    <row r="29" ht="15" customHeight="1">
      <c r="A29" t="inlineStr">
        <is>
          <t>A 21019-2026</t>
        </is>
      </c>
      <c r="B29" t="inlineStr">
        <is>
          <t>avverkningsanmälan</t>
        </is>
      </c>
      <c r="C29" t="inlineStr">
        <is>
          <t>Föryngringsavverkning</t>
        </is>
      </c>
      <c r="D29" s="1" t="n">
        <v>46145</v>
      </c>
      <c r="E29" s="1" t="n">
        <v>46261</v>
      </c>
      <c r="F29" t="inlineStr">
        <is>
          <t>ÖREBRO LÄN</t>
        </is>
      </c>
      <c r="G29" t="inlineStr">
        <is>
          <t>KARLSKOGA</t>
        </is>
      </c>
      <c r="H29" t="inlineStr">
        <is>
          <t>Sveaskog</t>
        </is>
      </c>
      <c r="I29" t="n">
        <v>4.7</v>
      </c>
      <c r="J29" t="n">
        <v>1</v>
      </c>
      <c r="K29" t="n">
        <v>0</v>
      </c>
      <c r="L29" t="n">
        <v>0</v>
      </c>
      <c r="M29" t="n">
        <v>0</v>
      </c>
      <c r="N29" t="n">
        <v>0</v>
      </c>
      <c r="O29" t="n">
        <v>0</v>
      </c>
      <c r="P29" t="n">
        <v>0</v>
      </c>
      <c r="Q29" t="n">
        <v>0</v>
      </c>
      <c r="R29" t="n">
        <v>0</v>
      </c>
      <c r="S29" t="n">
        <v>1</v>
      </c>
      <c r="T29" t="n">
        <v>1</v>
      </c>
      <c r="U29" t="n">
        <v>0</v>
      </c>
      <c r="V29" s="2" t="inlineStr">
        <is>
          <t>Åkergroda</t>
        </is>
      </c>
      <c r="W29">
        <f>HYPERLINK("https://klasma.github.io/Logging_1883/artfynd/A 21019-2026 artfynd.xlsx", "A 21019-2026")</f>
        <v/>
      </c>
      <c r="X29">
        <f>HYPERLINK("https://klasma.github.io/Logging_1883/kartor/A 21019-2026 karta.png", "A 21019-2026")</f>
        <v/>
      </c>
      <c r="Y29">
        <f>HYPERLINK("https://klasma.github.io/Logging_1883/kartor_geotiff/A 21019-2026 georefererad karta.tif", "A 21019-2026")</f>
        <v/>
      </c>
      <c r="AA29">
        <f>HYPERLINK("https://klasma.github.io/Logging_1883/klagomål/A 21019-2026 FSC-klagomål.docx", "A 21019-2026")</f>
        <v/>
      </c>
      <c r="AB29">
        <f>HYPERLINK("https://klasma.github.io/Logging_1883/klagomålsmail/A 21019-2026 FSC-klagomål mail.docx", "A 21019-2026")</f>
        <v/>
      </c>
      <c r="AC29">
        <f>HYPERLINK("https://klasma.github.io/Logging_1883/tillsyn/A 21019-2026 tillsynsbegäran.docx", "A 21019-2026")</f>
        <v/>
      </c>
      <c r="AD29">
        <f>HYPERLINK("https://klasma.github.io/Logging_1883/tillsynsmail/A 21019-2026 tillsynsbegäran mail.docx", "A 21019-2026")</f>
        <v/>
      </c>
    </row>
    <row r="30" ht="15" customHeight="1">
      <c r="A30" t="inlineStr">
        <is>
          <t>A 25093-2026</t>
        </is>
      </c>
      <c r="B30" t="inlineStr">
        <is>
          <t>avverkningsanmälan</t>
        </is>
      </c>
      <c r="C30" t="inlineStr">
        <is>
          <t>Föryngringsavverkning</t>
        </is>
      </c>
      <c r="D30" s="1" t="n">
        <v>46175</v>
      </c>
      <c r="E30" s="1" t="n">
        <v>46261</v>
      </c>
      <c r="F30" t="inlineStr">
        <is>
          <t>ÖREBRO LÄN</t>
        </is>
      </c>
      <c r="G30" t="inlineStr">
        <is>
          <t>KARLSKOGA</t>
        </is>
      </c>
      <c r="H30" t="inlineStr">
        <is>
          <t>Sveaskog</t>
        </is>
      </c>
      <c r="I30" t="n">
        <v>4</v>
      </c>
      <c r="J30" t="n">
        <v>0</v>
      </c>
      <c r="K30" t="n">
        <v>1</v>
      </c>
      <c r="L30" t="n">
        <v>0</v>
      </c>
      <c r="M30" t="n">
        <v>0</v>
      </c>
      <c r="N30" t="n">
        <v>0</v>
      </c>
      <c r="O30" t="n">
        <v>0</v>
      </c>
      <c r="P30" t="n">
        <v>0</v>
      </c>
      <c r="Q30" t="n">
        <v>0</v>
      </c>
      <c r="R30" t="n">
        <v>0</v>
      </c>
      <c r="S30" t="n">
        <v>1</v>
      </c>
      <c r="T30" t="n">
        <v>1</v>
      </c>
      <c r="U30" t="n">
        <v>1</v>
      </c>
      <c r="V30" s="2" t="inlineStr">
        <is>
          <t>Vedticka</t>
        </is>
      </c>
      <c r="W30">
        <f>HYPERLINK("https://klasma.github.io/Logging_1883/artfynd/A 25093-2026 artfynd.xlsx", "A 25093-2026")</f>
        <v/>
      </c>
      <c r="X30">
        <f>HYPERLINK("https://klasma.github.io/Logging_1883/kartor/A 25093-2026 karta.png", "A 25093-2026")</f>
        <v/>
      </c>
      <c r="Y30">
        <f>HYPERLINK("https://klasma.github.io/Logging_1883/kartor_geotiff/A 25093-2026 georefererad karta.tif", "A 25093-2026")</f>
        <v/>
      </c>
      <c r="AA30">
        <f>HYPERLINK("https://klasma.github.io/Logging_1883/klagomål/A 25093-2026 FSC-klagomål.docx", "A 25093-2026")</f>
        <v/>
      </c>
      <c r="AB30">
        <f>HYPERLINK("https://klasma.github.io/Logging_1883/klagomålsmail/A 25093-2026 FSC-klagomål mail.docx", "A 25093-2026")</f>
        <v/>
      </c>
      <c r="AC30">
        <f>HYPERLINK("https://klasma.github.io/Logging_1883/tillsyn/A 25093-2026 tillsynsbegäran.docx", "A 25093-2026")</f>
        <v/>
      </c>
      <c r="AD30">
        <f>HYPERLINK("https://klasma.github.io/Logging_1883/tillsynsmail/A 25093-2026 tillsynsbegäran mail.docx", "A 25093-2026")</f>
        <v/>
      </c>
    </row>
    <row r="31" ht="15" customHeight="1">
      <c r="A31" t="inlineStr">
        <is>
          <t>A 30915-2026</t>
        </is>
      </c>
      <c r="B31" t="inlineStr">
        <is>
          <t>avverkningsanmälan</t>
        </is>
      </c>
      <c r="C31" t="inlineStr">
        <is>
          <t>Föryngringsavverkning</t>
        </is>
      </c>
      <c r="D31" s="1" t="n">
        <v>46213</v>
      </c>
      <c r="E31" s="1" t="n">
        <v>46261</v>
      </c>
      <c r="F31" t="inlineStr">
        <is>
          <t>ÖREBRO LÄN</t>
        </is>
      </c>
      <c r="G31" t="inlineStr">
        <is>
          <t>KARLSKOGA</t>
        </is>
      </c>
      <c r="H31" t="inlineStr">
        <is>
          <t>Kyrkan</t>
        </is>
      </c>
      <c r="I31" t="n">
        <v>8.9</v>
      </c>
      <c r="J31" t="n">
        <v>1</v>
      </c>
      <c r="K31" t="n">
        <v>0</v>
      </c>
      <c r="L31" t="n">
        <v>0</v>
      </c>
      <c r="M31" t="n">
        <v>0</v>
      </c>
      <c r="N31" t="n">
        <v>0</v>
      </c>
      <c r="O31" t="n">
        <v>0</v>
      </c>
      <c r="P31" t="n">
        <v>0</v>
      </c>
      <c r="Q31" t="n">
        <v>0</v>
      </c>
      <c r="R31" t="n">
        <v>0</v>
      </c>
      <c r="S31" t="n">
        <v>1</v>
      </c>
      <c r="T31" t="n">
        <v>1</v>
      </c>
      <c r="U31" t="n">
        <v>0</v>
      </c>
      <c r="V31" s="2" t="inlineStr">
        <is>
          <t>Blåsippa</t>
        </is>
      </c>
      <c r="W31">
        <f>HYPERLINK("https://klasma.github.io/Logging_1883/artfynd/A 30915-2026 artfynd.xlsx", "A 30915-2026")</f>
        <v/>
      </c>
      <c r="X31">
        <f>HYPERLINK("https://klasma.github.io/Logging_1883/kartor/A 30915-2026 karta.png", "A 30915-2026")</f>
        <v/>
      </c>
      <c r="Y31">
        <f>HYPERLINK("https://klasma.github.io/Logging_1883/kartor_geotiff/A 30915-2026 georefererad karta.tif", "A 30915-2026")</f>
        <v/>
      </c>
      <c r="AA31">
        <f>HYPERLINK("https://klasma.github.io/Logging_1883/klagomål/A 30915-2026 FSC-klagomål.docx", "A 30915-2026")</f>
        <v/>
      </c>
      <c r="AB31">
        <f>HYPERLINK("https://klasma.github.io/Logging_1883/klagomålsmail/A 30915-2026 FSC-klagomål mail.docx", "A 30915-2026")</f>
        <v/>
      </c>
      <c r="AC31">
        <f>HYPERLINK("https://klasma.github.io/Logging_1883/tillsyn/A 30915-2026 tillsynsbegäran.docx", "A 30915-2026")</f>
        <v/>
      </c>
      <c r="AD31">
        <f>HYPERLINK("https://klasma.github.io/Logging_1883/tillsynsmail/A 30915-2026 tillsynsbegäran mail.docx", "A 30915-2026")</f>
        <v/>
      </c>
    </row>
    <row r="32" ht="15" customHeight="1">
      <c r="A32" t="inlineStr">
        <is>
          <t>A 35199-2026</t>
        </is>
      </c>
      <c r="B32" t="inlineStr">
        <is>
          <t>avverkningsanmälan</t>
        </is>
      </c>
      <c r="C32" t="inlineStr">
        <is>
          <t>Föryngringsavverkning</t>
        </is>
      </c>
      <c r="D32" s="1" t="n">
        <v>46260</v>
      </c>
      <c r="E32" s="1" t="n">
        <v>46261</v>
      </c>
      <c r="F32" t="inlineStr">
        <is>
          <t>ÖREBRO LÄN</t>
        </is>
      </c>
      <c r="G32" t="inlineStr">
        <is>
          <t>KARLSKOGA</t>
        </is>
      </c>
      <c r="H32" t="inlineStr">
        <is>
          <t>Kyrkan</t>
        </is>
      </c>
      <c r="I32" t="n">
        <v>5.6</v>
      </c>
      <c r="J32" t="n">
        <v>1</v>
      </c>
      <c r="K32" t="n">
        <v>0</v>
      </c>
      <c r="L32" t="n">
        <v>1</v>
      </c>
      <c r="M32" t="n">
        <v>0</v>
      </c>
      <c r="N32" t="n">
        <v>0</v>
      </c>
      <c r="O32" t="n">
        <v>0</v>
      </c>
      <c r="P32" t="n">
        <v>0</v>
      </c>
      <c r="Q32" t="n">
        <v>1</v>
      </c>
      <c r="R32" t="n">
        <v>0</v>
      </c>
      <c r="S32" t="n">
        <v>1</v>
      </c>
      <c r="T32" t="n">
        <v>1</v>
      </c>
      <c r="U32" t="n">
        <v>0</v>
      </c>
      <c r="V32" s="2" t="inlineStr">
        <is>
          <t>Nordfladdermus</t>
        </is>
      </c>
      <c r="W32">
        <f>HYPERLINK("https://klasma.github.io/Logging_1883/artfynd/A 35199-2026 artfynd.xlsx", "A 35199-2026")</f>
        <v/>
      </c>
      <c r="X32">
        <f>HYPERLINK("https://klasma.github.io/Logging_1883/kartor/A 35199-2026 karta.png", "A 35199-2026")</f>
        <v/>
      </c>
      <c r="Y32">
        <f>HYPERLINK("https://klasma.github.io/Logging_1883/kartor_geotiff/A 35199-2026 georefererad karta.tif", "A 35199-2026")</f>
        <v/>
      </c>
      <c r="AA32">
        <f>HYPERLINK("https://klasma.github.io/Logging_1883/klagomål/A 35199-2026 FSC-klagomål.docx", "A 35199-2026")</f>
        <v/>
      </c>
      <c r="AB32">
        <f>HYPERLINK("https://klasma.github.io/Logging_1883/klagomålsmail/A 35199-2026 FSC-klagomål mail.docx", "A 35199-2026")</f>
        <v/>
      </c>
      <c r="AC32">
        <f>HYPERLINK("https://klasma.github.io/Logging_1883/tillsyn/A 35199-2026 tillsynsbegäran.docx", "A 35199-2026")</f>
        <v/>
      </c>
      <c r="AD32">
        <f>HYPERLINK("https://klasma.github.io/Logging_1883/tillsynsmail/A 35199-2026 tillsynsbegäran mail.docx", "A 35199-2026")</f>
        <v/>
      </c>
    </row>
    <row r="33" ht="15" customHeight="1">
      <c r="A33" t="inlineStr">
        <is>
          <t>A 28474-2023</t>
        </is>
      </c>
      <c r="B33" t="inlineStr">
        <is>
          <t>avverkningsanmälan</t>
        </is>
      </c>
      <c r="C33" t="inlineStr">
        <is>
          <t>Föryngringsavverkning</t>
        </is>
      </c>
      <c r="D33" s="1" t="n">
        <v>45103</v>
      </c>
      <c r="E33" s="1" t="n">
        <v>46261</v>
      </c>
      <c r="F33" t="inlineStr">
        <is>
          <t>ÖREBRO LÄN</t>
        </is>
      </c>
      <c r="G33" t="inlineStr">
        <is>
          <t>KARLSKOGA</t>
        </is>
      </c>
      <c r="I33" t="n">
        <v>5.1</v>
      </c>
      <c r="J33" t="n">
        <v>1</v>
      </c>
      <c r="K33" t="n">
        <v>0</v>
      </c>
      <c r="L33" t="n">
        <v>1</v>
      </c>
      <c r="M33" t="n">
        <v>0</v>
      </c>
      <c r="N33" t="n">
        <v>0</v>
      </c>
      <c r="O33" t="n">
        <v>0</v>
      </c>
      <c r="P33" t="n">
        <v>0</v>
      </c>
      <c r="Q33" t="n">
        <v>1</v>
      </c>
      <c r="R33" t="n">
        <v>0</v>
      </c>
      <c r="S33" t="n">
        <v>1</v>
      </c>
      <c r="T33" t="n">
        <v>1</v>
      </c>
      <c r="U33" t="n">
        <v>1</v>
      </c>
      <c r="V33" s="2" t="inlineStr">
        <is>
          <t>Blåhake</t>
        </is>
      </c>
      <c r="W33">
        <f>HYPERLINK("https://klasma.github.io/Logging_1883/artfynd/A 28474-2023 artfynd.xlsx", "A 28474-2023")</f>
        <v/>
      </c>
      <c r="X33">
        <f>HYPERLINK("https://klasma.github.io/Logging_1883/kartor/A 28474-2023 karta.png", "A 28474-2023")</f>
        <v/>
      </c>
      <c r="Y33">
        <f>HYPERLINK("https://klasma.github.io/Logging_1883/kartor_geotiff/A 28474-2023 georefererad karta.tif", "A 28474-2023")</f>
        <v/>
      </c>
      <c r="AA33">
        <f>HYPERLINK("https://klasma.github.io/Logging_1883/klagomål/A 28474-2023 FSC-klagomål.docx", "A 28474-2023")</f>
        <v/>
      </c>
      <c r="AB33">
        <f>HYPERLINK("https://klasma.github.io/Logging_1883/klagomålsmail/A 28474-2023 FSC-klagomål mail.docx", "A 28474-2023")</f>
        <v/>
      </c>
      <c r="AC33">
        <f>HYPERLINK("https://klasma.github.io/Logging_1883/tillsyn/A 28474-2023 tillsynsbegäran.docx", "A 28474-2023")</f>
        <v/>
      </c>
      <c r="AD33">
        <f>HYPERLINK("https://klasma.github.io/Logging_1883/tillsynsmail/A 28474-2023 tillsynsbegäran mail.docx", "A 28474-2023")</f>
        <v/>
      </c>
      <c r="AE33">
        <f>HYPERLINK("https://klasma.github.io/Logging_1883/fåglar/A 28474-2023 prioriterade fågelarter.docx", "A 28474-2023")</f>
        <v/>
      </c>
    </row>
    <row r="34" ht="15" customHeight="1">
      <c r="A34" t="inlineStr">
        <is>
          <t>A 40528-2024</t>
        </is>
      </c>
      <c r="B34" t="inlineStr">
        <is>
          <t>avverkningsanmälan</t>
        </is>
      </c>
      <c r="C34" t="inlineStr">
        <is>
          <t>Föryngringsavverkning</t>
        </is>
      </c>
      <c r="D34" s="1" t="n">
        <v>45555</v>
      </c>
      <c r="E34" s="1" t="n">
        <v>46261</v>
      </c>
      <c r="F34" t="inlineStr">
        <is>
          <t>ÖREBRO LÄN</t>
        </is>
      </c>
      <c r="G34" t="inlineStr">
        <is>
          <t>KARLSKOGA</t>
        </is>
      </c>
      <c r="I34" t="n">
        <v>2.8</v>
      </c>
      <c r="J34" t="n">
        <v>1</v>
      </c>
      <c r="K34" t="n">
        <v>0</v>
      </c>
      <c r="L34" t="n">
        <v>0</v>
      </c>
      <c r="M34" t="n">
        <v>0</v>
      </c>
      <c r="N34" t="n">
        <v>0</v>
      </c>
      <c r="O34" t="n">
        <v>0</v>
      </c>
      <c r="P34" t="n">
        <v>0</v>
      </c>
      <c r="Q34" t="n">
        <v>0</v>
      </c>
      <c r="R34" t="n">
        <v>0</v>
      </c>
      <c r="S34" t="n">
        <v>1</v>
      </c>
      <c r="T34" t="n">
        <v>1</v>
      </c>
      <c r="U34" t="n">
        <v>1</v>
      </c>
      <c r="V34" s="2" t="inlineStr">
        <is>
          <t>Mattlummer</t>
        </is>
      </c>
      <c r="W34">
        <f>HYPERLINK("https://klasma.github.io/Logging_1883/artfynd/A 40528-2024 artfynd.xlsx", "A 40528-2024")</f>
        <v/>
      </c>
      <c r="X34">
        <f>HYPERLINK("https://klasma.github.io/Logging_1883/kartor/A 40528-2024 karta.png", "A 40528-2024")</f>
        <v/>
      </c>
      <c r="Y34">
        <f>HYPERLINK("https://klasma.github.io/Logging_1883/kartor_geotiff/A 40528-2024 georefererad karta.tif", "A 40528-2024")</f>
        <v/>
      </c>
      <c r="AA34">
        <f>HYPERLINK("https://klasma.github.io/Logging_1883/klagomål/A 40528-2024 FSC-klagomål.docx", "A 40528-2024")</f>
        <v/>
      </c>
      <c r="AB34">
        <f>HYPERLINK("https://klasma.github.io/Logging_1883/klagomålsmail/A 40528-2024 FSC-klagomål mail.docx", "A 40528-2024")</f>
        <v/>
      </c>
      <c r="AC34">
        <f>HYPERLINK("https://klasma.github.io/Logging_1883/tillsyn/A 40528-2024 tillsynsbegäran.docx", "A 40528-2024")</f>
        <v/>
      </c>
      <c r="AD34">
        <f>HYPERLINK("https://klasma.github.io/Logging_1883/tillsynsmail/A 40528-2024 tillsynsbegäran mail.docx", "A 40528-2024")</f>
        <v/>
      </c>
    </row>
    <row r="35" ht="15" customHeight="1">
      <c r="A35" t="inlineStr">
        <is>
          <t>S 6543-2021</t>
        </is>
      </c>
      <c r="B35" t="inlineStr">
        <is>
          <t>samrådsanmälan</t>
        </is>
      </c>
      <c r="C35" t="inlineStr">
        <is>
          <t>Annan skogsbruksåtgärd</t>
        </is>
      </c>
      <c r="D35" s="1" t="n">
        <v>44453</v>
      </c>
      <c r="E35" s="1" t="n">
        <v>46261</v>
      </c>
      <c r="F35" t="inlineStr">
        <is>
          <t>ÖREBRO LÄN</t>
        </is>
      </c>
      <c r="G35" t="inlineStr">
        <is>
          <t>KARLSKOGA</t>
        </is>
      </c>
      <c r="H35" t="inlineStr">
        <is>
          <t>Sveaskog</t>
        </is>
      </c>
      <c r="I35" t="n">
        <v>1.3</v>
      </c>
      <c r="J35" t="n">
        <v>0</v>
      </c>
      <c r="K35" t="n">
        <v>1</v>
      </c>
      <c r="L35" t="n">
        <v>0</v>
      </c>
      <c r="M35" t="n">
        <v>0</v>
      </c>
      <c r="N35" t="n">
        <v>0</v>
      </c>
      <c r="O35" t="n">
        <v>0</v>
      </c>
      <c r="P35" t="n">
        <v>0</v>
      </c>
      <c r="Q35" t="n">
        <v>0</v>
      </c>
      <c r="R35" t="n">
        <v>0</v>
      </c>
      <c r="S35" t="n">
        <v>1</v>
      </c>
      <c r="T35" t="n">
        <v>1</v>
      </c>
      <c r="U35" t="n">
        <v>0</v>
      </c>
      <c r="V35" s="2" t="inlineStr">
        <is>
          <t>Bårdlav</t>
        </is>
      </c>
      <c r="W35">
        <f>HYPERLINK("https://klasma.github.io/Logging_1883/artfynd/S 6543-2021 artfynd.xlsx", "S 6543-2021")</f>
        <v/>
      </c>
      <c r="X35">
        <f>HYPERLINK("https://klasma.github.io/Logging_1883/kartor/S 6543-2021 karta.png", "S 6543-2021")</f>
        <v/>
      </c>
      <c r="Y35">
        <f>HYPERLINK("https://klasma.github.io/Logging_1883/kartor_geotiff/S 6543-2021 georefererad karta.tif", "S 6543-2021")</f>
        <v/>
      </c>
      <c r="AA35">
        <f>HYPERLINK("https://klasma.github.io/Logging_1883/klagomål/S 6543-2021 FSC-klagomål.docx", "S 6543-2021")</f>
        <v/>
      </c>
      <c r="AB35">
        <f>HYPERLINK("https://klasma.github.io/Logging_1883/klagomålsmail/S 6543-2021 FSC-klagomål mail.docx", "S 6543-2021")</f>
        <v/>
      </c>
      <c r="AC35">
        <f>HYPERLINK("https://klasma.github.io/Logging_1883/tillsyn/S 6543-2021 tillsynsbegäran.docx", "S 6543-2021")</f>
        <v/>
      </c>
      <c r="AD35">
        <f>HYPERLINK("https://klasma.github.io/Logging_1883/tillsynsmail/S 6543-2021 tillsynsbegäran mail.docx", "S 6543-2021")</f>
        <v/>
      </c>
    </row>
    <row r="36" ht="15" customHeight="1">
      <c r="A36" t="inlineStr">
        <is>
          <t>A 72803-2021</t>
        </is>
      </c>
      <c r="B36" t="inlineStr">
        <is>
          <t>avverkningsanmälan</t>
        </is>
      </c>
      <c r="C36" t="inlineStr">
        <is>
          <t>Föryngringsavverkning</t>
        </is>
      </c>
      <c r="D36" s="1" t="n">
        <v>44546</v>
      </c>
      <c r="E36" s="1" t="n">
        <v>46261</v>
      </c>
      <c r="F36" t="inlineStr">
        <is>
          <t>ÖREBRO LÄN</t>
        </is>
      </c>
      <c r="G36" t="inlineStr">
        <is>
          <t>KARLSKOGA</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47669-2021</t>
        </is>
      </c>
      <c r="B37" t="inlineStr">
        <is>
          <t>avverkningsanmälan</t>
        </is>
      </c>
      <c r="C37" t="inlineStr">
        <is>
          <t>Föryngringsavverkning</t>
        </is>
      </c>
      <c r="D37" s="1" t="n">
        <v>44448</v>
      </c>
      <c r="E37" s="1" t="n">
        <v>46261</v>
      </c>
      <c r="F37" t="inlineStr">
        <is>
          <t>ÖREBRO LÄN</t>
        </is>
      </c>
      <c r="G37" t="inlineStr">
        <is>
          <t>KARLSKOGA</t>
        </is>
      </c>
      <c r="I37" t="n">
        <v>1.8</v>
      </c>
      <c r="J37" t="n">
        <v>0</v>
      </c>
      <c r="K37" t="n">
        <v>0</v>
      </c>
      <c r="L37" t="n">
        <v>0</v>
      </c>
      <c r="M37" t="n">
        <v>0</v>
      </c>
      <c r="N37" t="n">
        <v>0</v>
      </c>
      <c r="O37" t="n">
        <v>0</v>
      </c>
      <c r="P37" t="n">
        <v>0</v>
      </c>
      <c r="Q37" t="n">
        <v>0</v>
      </c>
      <c r="R37" t="n">
        <v>0</v>
      </c>
      <c r="S37" t="n">
        <v>0</v>
      </c>
      <c r="T37" t="n">
        <v>0</v>
      </c>
      <c r="U37" t="n">
        <v>0</v>
      </c>
      <c r="V37" s="2" t="inlineStr"/>
    </row>
    <row r="38" ht="15" customHeight="1">
      <c r="A38" t="inlineStr">
        <is>
          <t>A 25548-2022</t>
        </is>
      </c>
      <c r="B38" t="inlineStr">
        <is>
          <t>avverkningsanmälan</t>
        </is>
      </c>
      <c r="C38" t="inlineStr">
        <is>
          <t>Föryngringsavverkning</t>
        </is>
      </c>
      <c r="D38" s="1" t="n">
        <v>44732</v>
      </c>
      <c r="E38" s="1" t="n">
        <v>46261</v>
      </c>
      <c r="F38" t="inlineStr">
        <is>
          <t>ÖREBRO LÄN</t>
        </is>
      </c>
      <c r="G38" t="inlineStr">
        <is>
          <t>KARLSKOGA</t>
        </is>
      </c>
      <c r="I38" t="n">
        <v>2.3</v>
      </c>
      <c r="J38" t="n">
        <v>0</v>
      </c>
      <c r="K38" t="n">
        <v>0</v>
      </c>
      <c r="L38" t="n">
        <v>0</v>
      </c>
      <c r="M38" t="n">
        <v>0</v>
      </c>
      <c r="N38" t="n">
        <v>0</v>
      </c>
      <c r="O38" t="n">
        <v>0</v>
      </c>
      <c r="P38" t="n">
        <v>0</v>
      </c>
      <c r="Q38" t="n">
        <v>0</v>
      </c>
      <c r="R38" t="n">
        <v>0</v>
      </c>
      <c r="S38" t="n">
        <v>0</v>
      </c>
      <c r="T38" t="n">
        <v>0</v>
      </c>
      <c r="U38" t="n">
        <v>0</v>
      </c>
      <c r="V38" s="2" t="inlineStr"/>
    </row>
    <row r="39" ht="15" customHeight="1">
      <c r="A39" t="inlineStr">
        <is>
          <t>A 50991-2021</t>
        </is>
      </c>
      <c r="B39" t="inlineStr">
        <is>
          <t>avverkningsanmälan</t>
        </is>
      </c>
      <c r="C39" t="inlineStr">
        <is>
          <t>Föryngringsavverkning</t>
        </is>
      </c>
      <c r="D39" s="1" t="n">
        <v>44460</v>
      </c>
      <c r="E39" s="1" t="n">
        <v>46261</v>
      </c>
      <c r="F39" t="inlineStr">
        <is>
          <t>ÖREBRO LÄN</t>
        </is>
      </c>
      <c r="G39" t="inlineStr">
        <is>
          <t>KARLSKOGA</t>
        </is>
      </c>
      <c r="I39" t="n">
        <v>0.8</v>
      </c>
      <c r="J39" t="n">
        <v>0</v>
      </c>
      <c r="K39" t="n">
        <v>0</v>
      </c>
      <c r="L39" t="n">
        <v>0</v>
      </c>
      <c r="M39" t="n">
        <v>0</v>
      </c>
      <c r="N39" t="n">
        <v>0</v>
      </c>
      <c r="O39" t="n">
        <v>0</v>
      </c>
      <c r="P39" t="n">
        <v>0</v>
      </c>
      <c r="Q39" t="n">
        <v>0</v>
      </c>
      <c r="R39" t="n">
        <v>0</v>
      </c>
      <c r="S39" t="n">
        <v>0</v>
      </c>
      <c r="T39" t="n">
        <v>0</v>
      </c>
      <c r="U39" t="n">
        <v>0</v>
      </c>
      <c r="V39" s="2" t="inlineStr"/>
    </row>
    <row r="40" ht="15" customHeight="1">
      <c r="A40" t="inlineStr">
        <is>
          <t>A 22861-2022</t>
        </is>
      </c>
      <c r="B40" t="inlineStr">
        <is>
          <t>avverkningsanmälan</t>
        </is>
      </c>
      <c r="C40" t="inlineStr">
        <is>
          <t>Föryngringsavverkning</t>
        </is>
      </c>
      <c r="D40" s="1" t="n">
        <v>44715</v>
      </c>
      <c r="E40" s="1" t="n">
        <v>46261</v>
      </c>
      <c r="F40" t="inlineStr">
        <is>
          <t>ÖREBRO LÄN</t>
        </is>
      </c>
      <c r="G40" t="inlineStr">
        <is>
          <t>KARLSKOGA</t>
        </is>
      </c>
      <c r="I40" t="n">
        <v>0.6</v>
      </c>
      <c r="J40" t="n">
        <v>0</v>
      </c>
      <c r="K40" t="n">
        <v>0</v>
      </c>
      <c r="L40" t="n">
        <v>0</v>
      </c>
      <c r="M40" t="n">
        <v>0</v>
      </c>
      <c r="N40" t="n">
        <v>0</v>
      </c>
      <c r="O40" t="n">
        <v>0</v>
      </c>
      <c r="P40" t="n">
        <v>0</v>
      </c>
      <c r="Q40" t="n">
        <v>0</v>
      </c>
      <c r="R40" t="n">
        <v>0</v>
      </c>
      <c r="S40" t="n">
        <v>0</v>
      </c>
      <c r="T40" t="n">
        <v>0</v>
      </c>
      <c r="U40" t="n">
        <v>0</v>
      </c>
      <c r="V40" s="2" t="inlineStr"/>
    </row>
    <row r="41" ht="15" customHeight="1">
      <c r="A41" t="inlineStr">
        <is>
          <t>A 64869-2021</t>
        </is>
      </c>
      <c r="B41" t="inlineStr">
        <is>
          <t>avverkningsanmälan</t>
        </is>
      </c>
      <c r="C41" t="inlineStr">
        <is>
          <t>Föryngringsavverkning</t>
        </is>
      </c>
      <c r="D41" s="1" t="n">
        <v>44512</v>
      </c>
      <c r="E41" s="1" t="n">
        <v>46261</v>
      </c>
      <c r="F41" t="inlineStr">
        <is>
          <t>ÖREBRO LÄN</t>
        </is>
      </c>
      <c r="G41" t="inlineStr">
        <is>
          <t>KARLSKOGA</t>
        </is>
      </c>
      <c r="H41" t="inlineStr">
        <is>
          <t>Sveaskog</t>
        </is>
      </c>
      <c r="I41" t="n">
        <v>3.6</v>
      </c>
      <c r="J41" t="n">
        <v>0</v>
      </c>
      <c r="K41" t="n">
        <v>0</v>
      </c>
      <c r="L41" t="n">
        <v>0</v>
      </c>
      <c r="M41" t="n">
        <v>0</v>
      </c>
      <c r="N41" t="n">
        <v>0</v>
      </c>
      <c r="O41" t="n">
        <v>0</v>
      </c>
      <c r="P41" t="n">
        <v>0</v>
      </c>
      <c r="Q41" t="n">
        <v>0</v>
      </c>
      <c r="R41" t="n">
        <v>0</v>
      </c>
      <c r="S41" t="n">
        <v>0</v>
      </c>
      <c r="T41" t="n">
        <v>0</v>
      </c>
      <c r="U41" t="n">
        <v>0</v>
      </c>
      <c r="V41" s="2" t="inlineStr"/>
    </row>
    <row r="42" ht="15" customHeight="1">
      <c r="A42" t="inlineStr">
        <is>
          <t>A 63671-2021</t>
        </is>
      </c>
      <c r="B42" t="inlineStr">
        <is>
          <t>avverkningsanmälan</t>
        </is>
      </c>
      <c r="C42" t="inlineStr">
        <is>
          <t>Föryngringsavverkning</t>
        </is>
      </c>
      <c r="D42" s="1" t="n">
        <v>44508</v>
      </c>
      <c r="E42" s="1" t="n">
        <v>46261</v>
      </c>
      <c r="F42" t="inlineStr">
        <is>
          <t>ÖREBRO LÄN</t>
        </is>
      </c>
      <c r="G42" t="inlineStr">
        <is>
          <t>KARLSKOGA</t>
        </is>
      </c>
      <c r="H42" t="inlineStr">
        <is>
          <t>Kommuner</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56435-2021</t>
        </is>
      </c>
      <c r="B43" t="inlineStr">
        <is>
          <t>avverkningsanmälan</t>
        </is>
      </c>
      <c r="C43" t="inlineStr">
        <is>
          <t>Föryngringsavverkning</t>
        </is>
      </c>
      <c r="D43" s="1" t="n">
        <v>44480</v>
      </c>
      <c r="E43" s="1" t="n">
        <v>46261</v>
      </c>
      <c r="F43" t="inlineStr">
        <is>
          <t>ÖREBRO LÄN</t>
        </is>
      </c>
      <c r="G43" t="inlineStr">
        <is>
          <t>KARLSKOGA</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37582-2022</t>
        </is>
      </c>
      <c r="B44" t="inlineStr">
        <is>
          <t>avverkningsanmälan</t>
        </is>
      </c>
      <c r="C44" t="inlineStr">
        <is>
          <t>Föryngringsavverkning</t>
        </is>
      </c>
      <c r="D44" s="1" t="n">
        <v>44809</v>
      </c>
      <c r="E44" s="1" t="n">
        <v>46261</v>
      </c>
      <c r="F44" t="inlineStr">
        <is>
          <t>ÖREBRO LÄN</t>
        </is>
      </c>
      <c r="G44" t="inlineStr">
        <is>
          <t>KARLSKOGA</t>
        </is>
      </c>
      <c r="I44" t="n">
        <v>0.8</v>
      </c>
      <c r="J44" t="n">
        <v>0</v>
      </c>
      <c r="K44" t="n">
        <v>0</v>
      </c>
      <c r="L44" t="n">
        <v>0</v>
      </c>
      <c r="M44" t="n">
        <v>0</v>
      </c>
      <c r="N44" t="n">
        <v>0</v>
      </c>
      <c r="O44" t="n">
        <v>0</v>
      </c>
      <c r="P44" t="n">
        <v>0</v>
      </c>
      <c r="Q44" t="n">
        <v>0</v>
      </c>
      <c r="R44" t="n">
        <v>0</v>
      </c>
      <c r="S44" t="n">
        <v>0</v>
      </c>
      <c r="T44" t="n">
        <v>0</v>
      </c>
      <c r="U44" t="n">
        <v>0</v>
      </c>
      <c r="V44" s="2" t="inlineStr"/>
    </row>
    <row r="45" ht="15" customHeight="1">
      <c r="A45" t="inlineStr">
        <is>
          <t>A 38012-2022</t>
        </is>
      </c>
      <c r="B45" t="inlineStr">
        <is>
          <t>avverkningsanmälan</t>
        </is>
      </c>
      <c r="C45" t="inlineStr">
        <is>
          <t>Föryngringsavverkning</t>
        </is>
      </c>
      <c r="D45" s="1" t="n">
        <v>44811</v>
      </c>
      <c r="E45" s="1" t="n">
        <v>46261</v>
      </c>
      <c r="F45" t="inlineStr">
        <is>
          <t>ÖREBRO LÄN</t>
        </is>
      </c>
      <c r="G45" t="inlineStr">
        <is>
          <t>KARLSKOGA</t>
        </is>
      </c>
      <c r="I45" t="n">
        <v>3.7</v>
      </c>
      <c r="J45" t="n">
        <v>0</v>
      </c>
      <c r="K45" t="n">
        <v>0</v>
      </c>
      <c r="L45" t="n">
        <v>0</v>
      </c>
      <c r="M45" t="n">
        <v>0</v>
      </c>
      <c r="N45" t="n">
        <v>0</v>
      </c>
      <c r="O45" t="n">
        <v>0</v>
      </c>
      <c r="P45" t="n">
        <v>0</v>
      </c>
      <c r="Q45" t="n">
        <v>0</v>
      </c>
      <c r="R45" t="n">
        <v>0</v>
      </c>
      <c r="S45" t="n">
        <v>0</v>
      </c>
      <c r="T45" t="n">
        <v>0</v>
      </c>
      <c r="U45" t="n">
        <v>0</v>
      </c>
      <c r="V45" s="2" t="inlineStr"/>
    </row>
    <row r="46" ht="15" customHeight="1">
      <c r="A46" t="inlineStr">
        <is>
          <t>A 11081-2022</t>
        </is>
      </c>
      <c r="B46" t="inlineStr">
        <is>
          <t>avverkningsanmälan</t>
        </is>
      </c>
      <c r="C46" t="inlineStr">
        <is>
          <t>Avverkning för annat ändamål</t>
        </is>
      </c>
      <c r="D46" s="1" t="n">
        <v>44628</v>
      </c>
      <c r="E46" s="1" t="n">
        <v>46261</v>
      </c>
      <c r="F46" t="inlineStr">
        <is>
          <t>ÖREBRO LÄN</t>
        </is>
      </c>
      <c r="G46" t="inlineStr">
        <is>
          <t>KARLSKOGA</t>
        </is>
      </c>
      <c r="H46" t="inlineStr">
        <is>
          <t>Sveaskog</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37584-2022</t>
        </is>
      </c>
      <c r="B47" t="inlineStr">
        <is>
          <t>avverkningsanmälan</t>
        </is>
      </c>
      <c r="C47" t="inlineStr">
        <is>
          <t>Föryngringsavverkning</t>
        </is>
      </c>
      <c r="D47" s="1" t="n">
        <v>44809</v>
      </c>
      <c r="E47" s="1" t="n">
        <v>46261</v>
      </c>
      <c r="F47" t="inlineStr">
        <is>
          <t>ÖREBRO LÄN</t>
        </is>
      </c>
      <c r="G47" t="inlineStr">
        <is>
          <t>KARLSKOGA</t>
        </is>
      </c>
      <c r="I47" t="n">
        <v>4.9</v>
      </c>
      <c r="J47" t="n">
        <v>0</v>
      </c>
      <c r="K47" t="n">
        <v>0</v>
      </c>
      <c r="L47" t="n">
        <v>0</v>
      </c>
      <c r="M47" t="n">
        <v>0</v>
      </c>
      <c r="N47" t="n">
        <v>0</v>
      </c>
      <c r="O47" t="n">
        <v>0</v>
      </c>
      <c r="P47" t="n">
        <v>0</v>
      </c>
      <c r="Q47" t="n">
        <v>0</v>
      </c>
      <c r="R47" t="n">
        <v>0</v>
      </c>
      <c r="S47" t="n">
        <v>0</v>
      </c>
      <c r="T47" t="n">
        <v>0</v>
      </c>
      <c r="U47" t="n">
        <v>0</v>
      </c>
      <c r="V47" s="2" t="inlineStr"/>
    </row>
    <row r="48" ht="15" customHeight="1">
      <c r="A48" t="inlineStr">
        <is>
          <t>A 21612-2022</t>
        </is>
      </c>
      <c r="B48" t="inlineStr">
        <is>
          <t>avverkningsanmälan</t>
        </is>
      </c>
      <c r="C48" t="inlineStr">
        <is>
          <t>Föryngringsavverkning</t>
        </is>
      </c>
      <c r="D48" s="1" t="n">
        <v>44706</v>
      </c>
      <c r="E48" s="1" t="n">
        <v>46261</v>
      </c>
      <c r="F48" t="inlineStr">
        <is>
          <t>ÖREBRO LÄN</t>
        </is>
      </c>
      <c r="G48" t="inlineStr">
        <is>
          <t>KARLSKOGA</t>
        </is>
      </c>
      <c r="I48" t="n">
        <v>0.7</v>
      </c>
      <c r="J48" t="n">
        <v>0</v>
      </c>
      <c r="K48" t="n">
        <v>0</v>
      </c>
      <c r="L48" t="n">
        <v>0</v>
      </c>
      <c r="M48" t="n">
        <v>0</v>
      </c>
      <c r="N48" t="n">
        <v>0</v>
      </c>
      <c r="O48" t="n">
        <v>0</v>
      </c>
      <c r="P48" t="n">
        <v>0</v>
      </c>
      <c r="Q48" t="n">
        <v>0</v>
      </c>
      <c r="R48" t="n">
        <v>0</v>
      </c>
      <c r="S48" t="n">
        <v>0</v>
      </c>
      <c r="T48" t="n">
        <v>0</v>
      </c>
      <c r="U48" t="n">
        <v>0</v>
      </c>
      <c r="V48" s="2" t="inlineStr"/>
    </row>
    <row r="49" ht="15" customHeight="1">
      <c r="A49" t="inlineStr">
        <is>
          <t>A 21622-2022</t>
        </is>
      </c>
      <c r="B49" t="inlineStr">
        <is>
          <t>avverkningsanmälan</t>
        </is>
      </c>
      <c r="C49" t="inlineStr">
        <is>
          <t>Föryngringsavverkning</t>
        </is>
      </c>
      <c r="D49" s="1" t="n">
        <v>44706</v>
      </c>
      <c r="E49" s="1" t="n">
        <v>46261</v>
      </c>
      <c r="F49" t="inlineStr">
        <is>
          <t>ÖREBRO LÄN</t>
        </is>
      </c>
      <c r="G49" t="inlineStr">
        <is>
          <t>KARLSKOGA</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45117-2021</t>
        </is>
      </c>
      <c r="B50" t="inlineStr">
        <is>
          <t>avverkningsanmälan</t>
        </is>
      </c>
      <c r="C50" t="inlineStr">
        <is>
          <t>Föryngringsavverkning</t>
        </is>
      </c>
      <c r="D50" s="1" t="n">
        <v>44439</v>
      </c>
      <c r="E50" s="1" t="n">
        <v>46261</v>
      </c>
      <c r="F50" t="inlineStr">
        <is>
          <t>ÖREBRO LÄN</t>
        </is>
      </c>
      <c r="G50" t="inlineStr">
        <is>
          <t>KARLSKOGA</t>
        </is>
      </c>
      <c r="I50" t="n">
        <v>6.5</v>
      </c>
      <c r="J50" t="n">
        <v>0</v>
      </c>
      <c r="K50" t="n">
        <v>0</v>
      </c>
      <c r="L50" t="n">
        <v>0</v>
      </c>
      <c r="M50" t="n">
        <v>0</v>
      </c>
      <c r="N50" t="n">
        <v>0</v>
      </c>
      <c r="O50" t="n">
        <v>0</v>
      </c>
      <c r="P50" t="n">
        <v>0</v>
      </c>
      <c r="Q50" t="n">
        <v>0</v>
      </c>
      <c r="R50" t="n">
        <v>0</v>
      </c>
      <c r="S50" t="n">
        <v>0</v>
      </c>
      <c r="T50" t="n">
        <v>0</v>
      </c>
      <c r="U50" t="n">
        <v>0</v>
      </c>
      <c r="V50" s="2" t="inlineStr"/>
    </row>
    <row r="51" ht="15" customHeight="1">
      <c r="A51" t="inlineStr">
        <is>
          <t>A 39027-2022</t>
        </is>
      </c>
      <c r="B51" t="inlineStr">
        <is>
          <t>avverkningsanmälan</t>
        </is>
      </c>
      <c r="C51" t="inlineStr">
        <is>
          <t>Föryngringsavverkning</t>
        </is>
      </c>
      <c r="D51" s="1" t="n">
        <v>44817</v>
      </c>
      <c r="E51" s="1" t="n">
        <v>46261</v>
      </c>
      <c r="F51" t="inlineStr">
        <is>
          <t>ÖREBRO LÄN</t>
        </is>
      </c>
      <c r="G51" t="inlineStr">
        <is>
          <t>KARLSKOGA</t>
        </is>
      </c>
      <c r="H51" t="inlineStr">
        <is>
          <t>Sveaskog</t>
        </is>
      </c>
      <c r="I51" t="n">
        <v>1.8</v>
      </c>
      <c r="J51" t="n">
        <v>0</v>
      </c>
      <c r="K51" t="n">
        <v>0</v>
      </c>
      <c r="L51" t="n">
        <v>0</v>
      </c>
      <c r="M51" t="n">
        <v>0</v>
      </c>
      <c r="N51" t="n">
        <v>0</v>
      </c>
      <c r="O51" t="n">
        <v>0</v>
      </c>
      <c r="P51" t="n">
        <v>0</v>
      </c>
      <c r="Q51" t="n">
        <v>0</v>
      </c>
      <c r="R51" t="n">
        <v>0</v>
      </c>
      <c r="S51" t="n">
        <v>0</v>
      </c>
      <c r="T51" t="n">
        <v>0</v>
      </c>
      <c r="U51" t="n">
        <v>0</v>
      </c>
      <c r="V51" s="2" t="inlineStr"/>
    </row>
    <row r="52" ht="15" customHeight="1">
      <c r="A52" t="inlineStr">
        <is>
          <t>A 8803-2025</t>
        </is>
      </c>
      <c r="B52" t="inlineStr">
        <is>
          <t>avverkningsanmälan</t>
        </is>
      </c>
      <c r="C52" t="inlineStr">
        <is>
          <t>Föryngringsavverkning</t>
        </is>
      </c>
      <c r="D52" s="1" t="n">
        <v>45712</v>
      </c>
      <c r="E52" s="1" t="n">
        <v>46261</v>
      </c>
      <c r="F52" t="inlineStr">
        <is>
          <t>ÖREBRO LÄN</t>
        </is>
      </c>
      <c r="G52" t="inlineStr">
        <is>
          <t>KARLSKOGA</t>
        </is>
      </c>
      <c r="I52" t="n">
        <v>1.5</v>
      </c>
      <c r="J52" t="n">
        <v>0</v>
      </c>
      <c r="K52" t="n">
        <v>0</v>
      </c>
      <c r="L52" t="n">
        <v>0</v>
      </c>
      <c r="M52" t="n">
        <v>0</v>
      </c>
      <c r="N52" t="n">
        <v>0</v>
      </c>
      <c r="O52" t="n">
        <v>0</v>
      </c>
      <c r="P52" t="n">
        <v>0</v>
      </c>
      <c r="Q52" t="n">
        <v>0</v>
      </c>
      <c r="R52" t="n">
        <v>0</v>
      </c>
      <c r="S52" t="n">
        <v>0</v>
      </c>
      <c r="T52" t="n">
        <v>0</v>
      </c>
      <c r="U52" t="n">
        <v>0</v>
      </c>
      <c r="V52" s="2" t="inlineStr"/>
    </row>
    <row r="53" ht="15" customHeight="1">
      <c r="A53" t="inlineStr">
        <is>
          <t>A 46605-2021</t>
        </is>
      </c>
      <c r="B53" t="inlineStr">
        <is>
          <t>avverkningsanmälan</t>
        </is>
      </c>
      <c r="C53" t="inlineStr">
        <is>
          <t>Avverkning för att bevara och utveckla /försöksver</t>
        </is>
      </c>
      <c r="D53" s="1" t="n">
        <v>44445</v>
      </c>
      <c r="E53" s="1" t="n">
        <v>46261</v>
      </c>
      <c r="F53" t="inlineStr">
        <is>
          <t>ÖREBRO LÄN</t>
        </is>
      </c>
      <c r="G53" t="inlineStr">
        <is>
          <t>KARLSKOGA</t>
        </is>
      </c>
      <c r="H53" t="inlineStr">
        <is>
          <t>Sveaskog</t>
        </is>
      </c>
      <c r="I53" t="n">
        <v>3.6</v>
      </c>
      <c r="J53" t="n">
        <v>0</v>
      </c>
      <c r="K53" t="n">
        <v>0</v>
      </c>
      <c r="L53" t="n">
        <v>0</v>
      </c>
      <c r="M53" t="n">
        <v>0</v>
      </c>
      <c r="N53" t="n">
        <v>0</v>
      </c>
      <c r="O53" t="n">
        <v>0</v>
      </c>
      <c r="P53" t="n">
        <v>0</v>
      </c>
      <c r="Q53" t="n">
        <v>0</v>
      </c>
      <c r="R53" t="n">
        <v>0</v>
      </c>
      <c r="S53" t="n">
        <v>0</v>
      </c>
      <c r="T53" t="n">
        <v>0</v>
      </c>
      <c r="U53" t="n">
        <v>0</v>
      </c>
      <c r="V53" s="2" t="inlineStr"/>
    </row>
    <row r="54" ht="15" customHeight="1">
      <c r="A54" t="inlineStr">
        <is>
          <t>A 35445-2024</t>
        </is>
      </c>
      <c r="B54" t="inlineStr">
        <is>
          <t>avverkningsanmälan</t>
        </is>
      </c>
      <c r="C54" t="inlineStr">
        <is>
          <t>Föryngringsavverkning</t>
        </is>
      </c>
      <c r="D54" s="1" t="n">
        <v>45531</v>
      </c>
      <c r="E54" s="1" t="n">
        <v>46261</v>
      </c>
      <c r="F54" t="inlineStr">
        <is>
          <t>ÖREBRO LÄN</t>
        </is>
      </c>
      <c r="G54" t="inlineStr">
        <is>
          <t>KARLSKOGA</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39337-2022</t>
        </is>
      </c>
      <c r="B55" t="inlineStr">
        <is>
          <t>avverkningsanmälan</t>
        </is>
      </c>
      <c r="C55" t="inlineStr">
        <is>
          <t>Föryngringsavverkning</t>
        </is>
      </c>
      <c r="D55" s="1" t="n">
        <v>44817</v>
      </c>
      <c r="E55" s="1" t="n">
        <v>46261</v>
      </c>
      <c r="F55" t="inlineStr">
        <is>
          <t>ÖREBRO LÄN</t>
        </is>
      </c>
      <c r="G55" t="inlineStr">
        <is>
          <t>KARLSKOGA</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64066-2025</t>
        </is>
      </c>
      <c r="B56" t="inlineStr">
        <is>
          <t>avverkningsanmälan</t>
        </is>
      </c>
      <c r="C56" t="inlineStr">
        <is>
          <t>Avverkning för annat ändamål</t>
        </is>
      </c>
      <c r="D56" s="1" t="n">
        <v>46013</v>
      </c>
      <c r="E56" s="1" t="n">
        <v>46261</v>
      </c>
      <c r="F56" t="inlineStr">
        <is>
          <t>ÖREBRO LÄN</t>
        </is>
      </c>
      <c r="G56" t="inlineStr">
        <is>
          <t>KARLSKOGA</t>
        </is>
      </c>
      <c r="I56" t="n">
        <v>1.9</v>
      </c>
      <c r="J56" t="n">
        <v>0</v>
      </c>
      <c r="K56" t="n">
        <v>0</v>
      </c>
      <c r="L56" t="n">
        <v>0</v>
      </c>
      <c r="M56" t="n">
        <v>0</v>
      </c>
      <c r="N56" t="n">
        <v>0</v>
      </c>
      <c r="O56" t="n">
        <v>0</v>
      </c>
      <c r="P56" t="n">
        <v>0</v>
      </c>
      <c r="Q56" t="n">
        <v>0</v>
      </c>
      <c r="R56" t="n">
        <v>0</v>
      </c>
      <c r="S56" t="n">
        <v>0</v>
      </c>
      <c r="T56" t="n">
        <v>0</v>
      </c>
      <c r="U56" t="n">
        <v>0</v>
      </c>
      <c r="V56" s="2" t="inlineStr"/>
    </row>
    <row r="57" ht="15" customHeight="1">
      <c r="A57" t="inlineStr">
        <is>
          <t>A 63628-2025</t>
        </is>
      </c>
      <c r="B57" t="inlineStr">
        <is>
          <t>avverkningsanmälan</t>
        </is>
      </c>
      <c r="C57" t="inlineStr">
        <is>
          <t>Föryngringsavverkning</t>
        </is>
      </c>
      <c r="D57" s="1" t="n">
        <v>46014</v>
      </c>
      <c r="E57" s="1" t="n">
        <v>46261</v>
      </c>
      <c r="F57" t="inlineStr">
        <is>
          <t>ÖREBRO LÄN</t>
        </is>
      </c>
      <c r="G57" t="inlineStr">
        <is>
          <t>KARLSKOGA</t>
        </is>
      </c>
      <c r="I57" t="n">
        <v>3.8</v>
      </c>
      <c r="J57" t="n">
        <v>0</v>
      </c>
      <c r="K57" t="n">
        <v>0</v>
      </c>
      <c r="L57" t="n">
        <v>0</v>
      </c>
      <c r="M57" t="n">
        <v>0</v>
      </c>
      <c r="N57" t="n">
        <v>0</v>
      </c>
      <c r="O57" t="n">
        <v>0</v>
      </c>
      <c r="P57" t="n">
        <v>0</v>
      </c>
      <c r="Q57" t="n">
        <v>0</v>
      </c>
      <c r="R57" t="n">
        <v>0</v>
      </c>
      <c r="S57" t="n">
        <v>0</v>
      </c>
      <c r="T57" t="n">
        <v>0</v>
      </c>
      <c r="U57" t="n">
        <v>0</v>
      </c>
      <c r="V57" s="2" t="inlineStr"/>
    </row>
    <row r="58" ht="15" customHeight="1">
      <c r="A58" t="inlineStr">
        <is>
          <t>A 23308-2025</t>
        </is>
      </c>
      <c r="B58" t="inlineStr">
        <is>
          <t>avverkningsanmälan</t>
        </is>
      </c>
      <c r="C58" t="inlineStr">
        <is>
          <t>Föryngringsavverkning</t>
        </is>
      </c>
      <c r="D58" s="1" t="n">
        <v>45791</v>
      </c>
      <c r="E58" s="1" t="n">
        <v>46261</v>
      </c>
      <c r="F58" t="inlineStr">
        <is>
          <t>ÖREBRO LÄN</t>
        </is>
      </c>
      <c r="G58" t="inlineStr">
        <is>
          <t>KARLSKOGA</t>
        </is>
      </c>
      <c r="I58" t="n">
        <v>1.5</v>
      </c>
      <c r="J58" t="n">
        <v>0</v>
      </c>
      <c r="K58" t="n">
        <v>0</v>
      </c>
      <c r="L58" t="n">
        <v>0</v>
      </c>
      <c r="M58" t="n">
        <v>0</v>
      </c>
      <c r="N58" t="n">
        <v>0</v>
      </c>
      <c r="O58" t="n">
        <v>0</v>
      </c>
      <c r="P58" t="n">
        <v>0</v>
      </c>
      <c r="Q58" t="n">
        <v>0</v>
      </c>
      <c r="R58" t="n">
        <v>0</v>
      </c>
      <c r="S58" t="n">
        <v>0</v>
      </c>
      <c r="T58" t="n">
        <v>0</v>
      </c>
      <c r="U58" t="n">
        <v>0</v>
      </c>
      <c r="V58" s="2" t="inlineStr"/>
    </row>
    <row r="59" ht="15" customHeight="1">
      <c r="A59" t="inlineStr">
        <is>
          <t>A 1788-2026</t>
        </is>
      </c>
      <c r="B59" t="inlineStr">
        <is>
          <t>avverkningsanmälan</t>
        </is>
      </c>
      <c r="C59" t="inlineStr">
        <is>
          <t>Föryngringsavverkning</t>
        </is>
      </c>
      <c r="D59" s="1" t="n">
        <v>46034</v>
      </c>
      <c r="E59" s="1" t="n">
        <v>46261</v>
      </c>
      <c r="F59" t="inlineStr">
        <is>
          <t>ÖREBRO LÄN</t>
        </is>
      </c>
      <c r="G59" t="inlineStr">
        <is>
          <t>KARLSKOGA</t>
        </is>
      </c>
      <c r="I59" t="n">
        <v>3.5</v>
      </c>
      <c r="J59" t="n">
        <v>0</v>
      </c>
      <c r="K59" t="n">
        <v>0</v>
      </c>
      <c r="L59" t="n">
        <v>0</v>
      </c>
      <c r="M59" t="n">
        <v>0</v>
      </c>
      <c r="N59" t="n">
        <v>0</v>
      </c>
      <c r="O59" t="n">
        <v>0</v>
      </c>
      <c r="P59" t="n">
        <v>0</v>
      </c>
      <c r="Q59" t="n">
        <v>0</v>
      </c>
      <c r="R59" t="n">
        <v>0</v>
      </c>
      <c r="S59" t="n">
        <v>0</v>
      </c>
      <c r="T59" t="n">
        <v>0</v>
      </c>
      <c r="U59" t="n">
        <v>0</v>
      </c>
      <c r="V59" s="2" t="inlineStr"/>
    </row>
    <row r="60" ht="15" customHeight="1">
      <c r="A60" t="inlineStr">
        <is>
          <t>A 2911-2026</t>
        </is>
      </c>
      <c r="B60" t="inlineStr">
        <is>
          <t>avverkningsanmälan</t>
        </is>
      </c>
      <c r="C60" t="inlineStr">
        <is>
          <t>Föryngringsavverkning</t>
        </is>
      </c>
      <c r="D60" s="1" t="n">
        <v>46038</v>
      </c>
      <c r="E60" s="1" t="n">
        <v>46261</v>
      </c>
      <c r="F60" t="inlineStr">
        <is>
          <t>ÖREBRO LÄN</t>
        </is>
      </c>
      <c r="G60" t="inlineStr">
        <is>
          <t>KARLSKOGA</t>
        </is>
      </c>
      <c r="I60" t="n">
        <v>1.1</v>
      </c>
      <c r="J60" t="n">
        <v>0</v>
      </c>
      <c r="K60" t="n">
        <v>0</v>
      </c>
      <c r="L60" t="n">
        <v>0</v>
      </c>
      <c r="M60" t="n">
        <v>0</v>
      </c>
      <c r="N60" t="n">
        <v>0</v>
      </c>
      <c r="O60" t="n">
        <v>0</v>
      </c>
      <c r="P60" t="n">
        <v>0</v>
      </c>
      <c r="Q60" t="n">
        <v>0</v>
      </c>
      <c r="R60" t="n">
        <v>0</v>
      </c>
      <c r="S60" t="n">
        <v>0</v>
      </c>
      <c r="T60" t="n">
        <v>0</v>
      </c>
      <c r="U60" t="n">
        <v>0</v>
      </c>
      <c r="V60" s="2" t="inlineStr"/>
    </row>
    <row r="61" ht="15" customHeight="1">
      <c r="A61" t="inlineStr">
        <is>
          <t>A 56887-2022</t>
        </is>
      </c>
      <c r="B61" t="inlineStr">
        <is>
          <t>avverkningsanmälan</t>
        </is>
      </c>
      <c r="C61" t="inlineStr">
        <is>
          <t>Föryngringsavverkning</t>
        </is>
      </c>
      <c r="D61" s="1" t="n">
        <v>44894</v>
      </c>
      <c r="E61" s="1" t="n">
        <v>46261</v>
      </c>
      <c r="F61" t="inlineStr">
        <is>
          <t>ÖREBRO LÄN</t>
        </is>
      </c>
      <c r="G61" t="inlineStr">
        <is>
          <t>KARLSKOGA</t>
        </is>
      </c>
      <c r="I61" t="n">
        <v>1.8</v>
      </c>
      <c r="J61" t="n">
        <v>0</v>
      </c>
      <c r="K61" t="n">
        <v>0</v>
      </c>
      <c r="L61" t="n">
        <v>0</v>
      </c>
      <c r="M61" t="n">
        <v>0</v>
      </c>
      <c r="N61" t="n">
        <v>0</v>
      </c>
      <c r="O61" t="n">
        <v>0</v>
      </c>
      <c r="P61" t="n">
        <v>0</v>
      </c>
      <c r="Q61" t="n">
        <v>0</v>
      </c>
      <c r="R61" t="n">
        <v>0</v>
      </c>
      <c r="S61" t="n">
        <v>0</v>
      </c>
      <c r="T61" t="n">
        <v>0</v>
      </c>
      <c r="U61" t="n">
        <v>0</v>
      </c>
      <c r="V61" s="2" t="inlineStr"/>
    </row>
    <row r="62" ht="15" customHeight="1">
      <c r="A62" t="inlineStr">
        <is>
          <t>A 24255-2024</t>
        </is>
      </c>
      <c r="B62" t="inlineStr">
        <is>
          <t>avverkningsanmälan</t>
        </is>
      </c>
      <c r="C62" t="inlineStr">
        <is>
          <t>Föryngringsavverkning</t>
        </is>
      </c>
      <c r="D62" s="1" t="n">
        <v>45457</v>
      </c>
      <c r="E62" s="1" t="n">
        <v>46261</v>
      </c>
      <c r="F62" t="inlineStr">
        <is>
          <t>ÖREBRO LÄN</t>
        </is>
      </c>
      <c r="G62" t="inlineStr">
        <is>
          <t>KARLSKOGA</t>
        </is>
      </c>
      <c r="I62" t="n">
        <v>2.4</v>
      </c>
      <c r="J62" t="n">
        <v>0</v>
      </c>
      <c r="K62" t="n">
        <v>0</v>
      </c>
      <c r="L62" t="n">
        <v>0</v>
      </c>
      <c r="M62" t="n">
        <v>0</v>
      </c>
      <c r="N62" t="n">
        <v>0</v>
      </c>
      <c r="O62" t="n">
        <v>0</v>
      </c>
      <c r="P62" t="n">
        <v>0</v>
      </c>
      <c r="Q62" t="n">
        <v>0</v>
      </c>
      <c r="R62" t="n">
        <v>0</v>
      </c>
      <c r="S62" t="n">
        <v>0</v>
      </c>
      <c r="T62" t="n">
        <v>0</v>
      </c>
      <c r="U62" t="n">
        <v>0</v>
      </c>
      <c r="V62" s="2" t="inlineStr"/>
    </row>
    <row r="63" ht="15" customHeight="1">
      <c r="A63" t="inlineStr">
        <is>
          <t>A 45664-2025</t>
        </is>
      </c>
      <c r="B63" t="inlineStr">
        <is>
          <t>avverkningsanmälan</t>
        </is>
      </c>
      <c r="C63" t="inlineStr">
        <is>
          <t>Föryngringsavverkning</t>
        </is>
      </c>
      <c r="D63" s="1" t="n">
        <v>45923</v>
      </c>
      <c r="E63" s="1" t="n">
        <v>46261</v>
      </c>
      <c r="F63" t="inlineStr">
        <is>
          <t>ÖREBRO LÄN</t>
        </is>
      </c>
      <c r="G63" t="inlineStr">
        <is>
          <t>KARLSKOGA</t>
        </is>
      </c>
      <c r="H63" t="inlineStr">
        <is>
          <t>Sveaskog</t>
        </is>
      </c>
      <c r="I63" t="n">
        <v>9</v>
      </c>
      <c r="J63" t="n">
        <v>0</v>
      </c>
      <c r="K63" t="n">
        <v>0</v>
      </c>
      <c r="L63" t="n">
        <v>0</v>
      </c>
      <c r="M63" t="n">
        <v>0</v>
      </c>
      <c r="N63" t="n">
        <v>0</v>
      </c>
      <c r="O63" t="n">
        <v>0</v>
      </c>
      <c r="P63" t="n">
        <v>0</v>
      </c>
      <c r="Q63" t="n">
        <v>0</v>
      </c>
      <c r="R63" t="n">
        <v>0</v>
      </c>
      <c r="S63" t="n">
        <v>0</v>
      </c>
      <c r="T63" t="n">
        <v>0</v>
      </c>
      <c r="U63" t="n">
        <v>0</v>
      </c>
      <c r="V63" s="2" t="inlineStr"/>
    </row>
    <row r="64" ht="15" customHeight="1">
      <c r="A64" t="inlineStr">
        <is>
          <t>A 47222-2024</t>
        </is>
      </c>
      <c r="B64" t="inlineStr">
        <is>
          <t>avverkningsanmälan</t>
        </is>
      </c>
      <c r="C64" t="inlineStr">
        <is>
          <t>Föryngringsavverkning</t>
        </is>
      </c>
      <c r="D64" s="1" t="n">
        <v>45586</v>
      </c>
      <c r="E64" s="1" t="n">
        <v>46261</v>
      </c>
      <c r="F64" t="inlineStr">
        <is>
          <t>ÖREBRO LÄN</t>
        </is>
      </c>
      <c r="G64" t="inlineStr">
        <is>
          <t>KARLSKOGA</t>
        </is>
      </c>
      <c r="H64" t="inlineStr">
        <is>
          <t>Sveaskog</t>
        </is>
      </c>
      <c r="I64" t="n">
        <v>5.3</v>
      </c>
      <c r="J64" t="n">
        <v>0</v>
      </c>
      <c r="K64" t="n">
        <v>0</v>
      </c>
      <c r="L64" t="n">
        <v>0</v>
      </c>
      <c r="M64" t="n">
        <v>0</v>
      </c>
      <c r="N64" t="n">
        <v>0</v>
      </c>
      <c r="O64" t="n">
        <v>0</v>
      </c>
      <c r="P64" t="n">
        <v>0</v>
      </c>
      <c r="Q64" t="n">
        <v>0</v>
      </c>
      <c r="R64" t="n">
        <v>0</v>
      </c>
      <c r="S64" t="n">
        <v>0</v>
      </c>
      <c r="T64" t="n">
        <v>0</v>
      </c>
      <c r="U64" t="n">
        <v>0</v>
      </c>
      <c r="V64" s="2" t="inlineStr"/>
    </row>
    <row r="65" ht="15" customHeight="1">
      <c r="A65" t="inlineStr">
        <is>
          <t>A 38196-2024</t>
        </is>
      </c>
      <c r="B65" t="inlineStr">
        <is>
          <t>avverkningsanmälan</t>
        </is>
      </c>
      <c r="C65" t="inlineStr">
        <is>
          <t>Föryngringsavverkning</t>
        </is>
      </c>
      <c r="D65" s="1" t="n">
        <v>45545</v>
      </c>
      <c r="E65" s="1" t="n">
        <v>46261</v>
      </c>
      <c r="F65" t="inlineStr">
        <is>
          <t>ÖREBRO LÄN</t>
        </is>
      </c>
      <c r="G65" t="inlineStr">
        <is>
          <t>KARLSKOGA</t>
        </is>
      </c>
      <c r="I65" t="n">
        <v>0.7</v>
      </c>
      <c r="J65" t="n">
        <v>0</v>
      </c>
      <c r="K65" t="n">
        <v>0</v>
      </c>
      <c r="L65" t="n">
        <v>0</v>
      </c>
      <c r="M65" t="n">
        <v>0</v>
      </c>
      <c r="N65" t="n">
        <v>0</v>
      </c>
      <c r="O65" t="n">
        <v>0</v>
      </c>
      <c r="P65" t="n">
        <v>0</v>
      </c>
      <c r="Q65" t="n">
        <v>0</v>
      </c>
      <c r="R65" t="n">
        <v>0</v>
      </c>
      <c r="S65" t="n">
        <v>0</v>
      </c>
      <c r="T65" t="n">
        <v>0</v>
      </c>
      <c r="U65" t="n">
        <v>0</v>
      </c>
      <c r="V65" s="2" t="inlineStr"/>
    </row>
    <row r="66" ht="15" customHeight="1">
      <c r="A66" t="inlineStr">
        <is>
          <t>A 17815-2025</t>
        </is>
      </c>
      <c r="B66" t="inlineStr">
        <is>
          <t>avverkningsanmälan</t>
        </is>
      </c>
      <c r="C66" t="inlineStr">
        <is>
          <t>Föryngringsavverkning</t>
        </is>
      </c>
      <c r="D66" s="1" t="n">
        <v>45758</v>
      </c>
      <c r="E66" s="1" t="n">
        <v>46261</v>
      </c>
      <c r="F66" t="inlineStr">
        <is>
          <t>ÖREBRO LÄN</t>
        </is>
      </c>
      <c r="G66" t="inlineStr">
        <is>
          <t>KARLSKOGA</t>
        </is>
      </c>
      <c r="H66" t="inlineStr">
        <is>
          <t>Sveaskog</t>
        </is>
      </c>
      <c r="I66" t="n">
        <v>1</v>
      </c>
      <c r="J66" t="n">
        <v>0</v>
      </c>
      <c r="K66" t="n">
        <v>0</v>
      </c>
      <c r="L66" t="n">
        <v>0</v>
      </c>
      <c r="M66" t="n">
        <v>0</v>
      </c>
      <c r="N66" t="n">
        <v>0</v>
      </c>
      <c r="O66" t="n">
        <v>0</v>
      </c>
      <c r="P66" t="n">
        <v>0</v>
      </c>
      <c r="Q66" t="n">
        <v>0</v>
      </c>
      <c r="R66" t="n">
        <v>0</v>
      </c>
      <c r="S66" t="n">
        <v>0</v>
      </c>
      <c r="T66" t="n">
        <v>0</v>
      </c>
      <c r="U66" t="n">
        <v>0</v>
      </c>
      <c r="V66" s="2" t="inlineStr"/>
    </row>
    <row r="67" ht="15" customHeight="1">
      <c r="A67" t="inlineStr">
        <is>
          <t>A 27498-2025</t>
        </is>
      </c>
      <c r="B67" t="inlineStr">
        <is>
          <t>avverkningsanmälan</t>
        </is>
      </c>
      <c r="C67" t="inlineStr">
        <is>
          <t>Föryngringsavverkning</t>
        </is>
      </c>
      <c r="D67" s="1" t="n">
        <v>45813</v>
      </c>
      <c r="E67" s="1" t="n">
        <v>46261</v>
      </c>
      <c r="F67" t="inlineStr">
        <is>
          <t>ÖREBRO LÄN</t>
        </is>
      </c>
      <c r="G67" t="inlineStr">
        <is>
          <t>KARLSKOGA</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54680-2021</t>
        </is>
      </c>
      <c r="B68" t="inlineStr">
        <is>
          <t>avverkningsanmälan</t>
        </is>
      </c>
      <c r="C68" t="inlineStr">
        <is>
          <t>Föryngringsavverkning</t>
        </is>
      </c>
      <c r="D68" s="1" t="n">
        <v>44473</v>
      </c>
      <c r="E68" s="1" t="n">
        <v>46261</v>
      </c>
      <c r="F68" t="inlineStr">
        <is>
          <t>ÖREBRO LÄN</t>
        </is>
      </c>
      <c r="G68" t="inlineStr">
        <is>
          <t>KARLSKOGA</t>
        </is>
      </c>
      <c r="I68" t="n">
        <v>2.9</v>
      </c>
      <c r="J68" t="n">
        <v>0</v>
      </c>
      <c r="K68" t="n">
        <v>0</v>
      </c>
      <c r="L68" t="n">
        <v>0</v>
      </c>
      <c r="M68" t="n">
        <v>0</v>
      </c>
      <c r="N68" t="n">
        <v>0</v>
      </c>
      <c r="O68" t="n">
        <v>0</v>
      </c>
      <c r="P68" t="n">
        <v>0</v>
      </c>
      <c r="Q68" t="n">
        <v>0</v>
      </c>
      <c r="R68" t="n">
        <v>0</v>
      </c>
      <c r="S68" t="n">
        <v>0</v>
      </c>
      <c r="T68" t="n">
        <v>0</v>
      </c>
      <c r="U68" t="n">
        <v>0</v>
      </c>
      <c r="V68" s="2" t="inlineStr"/>
    </row>
    <row r="69" ht="15" customHeight="1">
      <c r="A69" t="inlineStr">
        <is>
          <t>A 30102-2025</t>
        </is>
      </c>
      <c r="B69" t="inlineStr">
        <is>
          <t>avverkningsanmälan</t>
        </is>
      </c>
      <c r="C69" t="inlineStr">
        <is>
          <t>Föryngringsavverkning</t>
        </is>
      </c>
      <c r="D69" s="1" t="n">
        <v>45826</v>
      </c>
      <c r="E69" s="1" t="n">
        <v>46261</v>
      </c>
      <c r="F69" t="inlineStr">
        <is>
          <t>ÖREBRO LÄN</t>
        </is>
      </c>
      <c r="G69" t="inlineStr">
        <is>
          <t>KARLSKOGA</t>
        </is>
      </c>
      <c r="I69" t="n">
        <v>1</v>
      </c>
      <c r="J69" t="n">
        <v>0</v>
      </c>
      <c r="K69" t="n">
        <v>0</v>
      </c>
      <c r="L69" t="n">
        <v>0</v>
      </c>
      <c r="M69" t="n">
        <v>0</v>
      </c>
      <c r="N69" t="n">
        <v>0</v>
      </c>
      <c r="O69" t="n">
        <v>0</v>
      </c>
      <c r="P69" t="n">
        <v>0</v>
      </c>
      <c r="Q69" t="n">
        <v>0</v>
      </c>
      <c r="R69" t="n">
        <v>0</v>
      </c>
      <c r="S69" t="n">
        <v>0</v>
      </c>
      <c r="T69" t="n">
        <v>0</v>
      </c>
      <c r="U69" t="n">
        <v>0</v>
      </c>
      <c r="V69" s="2" t="inlineStr"/>
    </row>
    <row r="70" ht="15" customHeight="1">
      <c r="A70" t="inlineStr">
        <is>
          <t>A 53647-2023</t>
        </is>
      </c>
      <c r="B70" t="inlineStr">
        <is>
          <t>avverkningsanmälan</t>
        </is>
      </c>
      <c r="C70" t="inlineStr">
        <is>
          <t>Föryngringsavverkning</t>
        </is>
      </c>
      <c r="D70" s="1" t="n">
        <v>45230</v>
      </c>
      <c r="E70" s="1" t="n">
        <v>46261</v>
      </c>
      <c r="F70" t="inlineStr">
        <is>
          <t>ÖREBRO LÄN</t>
        </is>
      </c>
      <c r="G70" t="inlineStr">
        <is>
          <t>KARLSKOGA</t>
        </is>
      </c>
      <c r="I70" t="n">
        <v>0.6</v>
      </c>
      <c r="J70" t="n">
        <v>0</v>
      </c>
      <c r="K70" t="n">
        <v>0</v>
      </c>
      <c r="L70" t="n">
        <v>0</v>
      </c>
      <c r="M70" t="n">
        <v>0</v>
      </c>
      <c r="N70" t="n">
        <v>0</v>
      </c>
      <c r="O70" t="n">
        <v>0</v>
      </c>
      <c r="P70" t="n">
        <v>0</v>
      </c>
      <c r="Q70" t="n">
        <v>0</v>
      </c>
      <c r="R70" t="n">
        <v>0</v>
      </c>
      <c r="S70" t="n">
        <v>0</v>
      </c>
      <c r="T70" t="n">
        <v>0</v>
      </c>
      <c r="U70" t="n">
        <v>0</v>
      </c>
      <c r="V70" s="2" t="inlineStr"/>
    </row>
    <row r="71" ht="15" customHeight="1">
      <c r="A71" t="inlineStr">
        <is>
          <t>A 23620-2024</t>
        </is>
      </c>
      <c r="B71" t="inlineStr">
        <is>
          <t>avverkningsanmälan</t>
        </is>
      </c>
      <c r="C71" t="inlineStr">
        <is>
          <t>Föryngringsavverkning</t>
        </is>
      </c>
      <c r="D71" s="1" t="n">
        <v>45454</v>
      </c>
      <c r="E71" s="1" t="n">
        <v>46261</v>
      </c>
      <c r="F71" t="inlineStr">
        <is>
          <t>ÖREBRO LÄN</t>
        </is>
      </c>
      <c r="G71" t="inlineStr">
        <is>
          <t>KARLSKOGA</t>
        </is>
      </c>
      <c r="I71" t="n">
        <v>2.2</v>
      </c>
      <c r="J71" t="n">
        <v>0</v>
      </c>
      <c r="K71" t="n">
        <v>0</v>
      </c>
      <c r="L71" t="n">
        <v>0</v>
      </c>
      <c r="M71" t="n">
        <v>0</v>
      </c>
      <c r="N71" t="n">
        <v>0</v>
      </c>
      <c r="O71" t="n">
        <v>0</v>
      </c>
      <c r="P71" t="n">
        <v>0</v>
      </c>
      <c r="Q71" t="n">
        <v>0</v>
      </c>
      <c r="R71" t="n">
        <v>0</v>
      </c>
      <c r="S71" t="n">
        <v>0</v>
      </c>
      <c r="T71" t="n">
        <v>0</v>
      </c>
      <c r="U71" t="n">
        <v>0</v>
      </c>
      <c r="V71" s="2" t="inlineStr"/>
    </row>
    <row r="72" ht="15" customHeight="1">
      <c r="A72" t="inlineStr">
        <is>
          <t>A 31397-2025</t>
        </is>
      </c>
      <c r="B72" t="inlineStr">
        <is>
          <t>avverkningsanmälan</t>
        </is>
      </c>
      <c r="C72" t="inlineStr">
        <is>
          <t>Föryngringsavverkning</t>
        </is>
      </c>
      <c r="D72" s="1" t="n">
        <v>45833</v>
      </c>
      <c r="E72" s="1" t="n">
        <v>46261</v>
      </c>
      <c r="F72" t="inlineStr">
        <is>
          <t>ÖREBRO LÄN</t>
        </is>
      </c>
      <c r="G72" t="inlineStr">
        <is>
          <t>KARLSKOGA</t>
        </is>
      </c>
      <c r="I72" t="n">
        <v>1.5</v>
      </c>
      <c r="J72" t="n">
        <v>0</v>
      </c>
      <c r="K72" t="n">
        <v>0</v>
      </c>
      <c r="L72" t="n">
        <v>0</v>
      </c>
      <c r="M72" t="n">
        <v>0</v>
      </c>
      <c r="N72" t="n">
        <v>0</v>
      </c>
      <c r="O72" t="n">
        <v>0</v>
      </c>
      <c r="P72" t="n">
        <v>0</v>
      </c>
      <c r="Q72" t="n">
        <v>0</v>
      </c>
      <c r="R72" t="n">
        <v>0</v>
      </c>
      <c r="S72" t="n">
        <v>0</v>
      </c>
      <c r="T72" t="n">
        <v>0</v>
      </c>
      <c r="U72" t="n">
        <v>0</v>
      </c>
      <c r="V72" s="2" t="inlineStr"/>
    </row>
    <row r="73" ht="15" customHeight="1">
      <c r="A73" t="inlineStr">
        <is>
          <t>A 44946-2025</t>
        </is>
      </c>
      <c r="B73" t="inlineStr">
        <is>
          <t>avverkningsanmälan</t>
        </is>
      </c>
      <c r="C73" t="inlineStr">
        <is>
          <t>Föryngringsavverkning</t>
        </is>
      </c>
      <c r="D73" s="1" t="n">
        <v>45918</v>
      </c>
      <c r="E73" s="1" t="n">
        <v>46261</v>
      </c>
      <c r="F73" t="inlineStr">
        <is>
          <t>ÖREBRO LÄN</t>
        </is>
      </c>
      <c r="G73" t="inlineStr">
        <is>
          <t>KARLSKOGA</t>
        </is>
      </c>
      <c r="I73" t="n">
        <v>2.4</v>
      </c>
      <c r="J73" t="n">
        <v>0</v>
      </c>
      <c r="K73" t="n">
        <v>0</v>
      </c>
      <c r="L73" t="n">
        <v>0</v>
      </c>
      <c r="M73" t="n">
        <v>0</v>
      </c>
      <c r="N73" t="n">
        <v>0</v>
      </c>
      <c r="O73" t="n">
        <v>0</v>
      </c>
      <c r="P73" t="n">
        <v>0</v>
      </c>
      <c r="Q73" t="n">
        <v>0</v>
      </c>
      <c r="R73" t="n">
        <v>0</v>
      </c>
      <c r="S73" t="n">
        <v>0</v>
      </c>
      <c r="T73" t="n">
        <v>0</v>
      </c>
      <c r="U73" t="n">
        <v>0</v>
      </c>
      <c r="V73" s="2" t="inlineStr"/>
    </row>
    <row r="74" ht="15" customHeight="1">
      <c r="A74" t="inlineStr">
        <is>
          <t>A 44949-2025</t>
        </is>
      </c>
      <c r="B74" t="inlineStr">
        <is>
          <t>avverkningsanmälan</t>
        </is>
      </c>
      <c r="C74" t="inlineStr">
        <is>
          <t>Föryngringsavverkning</t>
        </is>
      </c>
      <c r="D74" s="1" t="n">
        <v>45918</v>
      </c>
      <c r="E74" s="1" t="n">
        <v>46261</v>
      </c>
      <c r="F74" t="inlineStr">
        <is>
          <t>ÖREBRO LÄN</t>
        </is>
      </c>
      <c r="G74" t="inlineStr">
        <is>
          <t>KARLSKOGA</t>
        </is>
      </c>
      <c r="I74" t="n">
        <v>0.8</v>
      </c>
      <c r="J74" t="n">
        <v>0</v>
      </c>
      <c r="K74" t="n">
        <v>0</v>
      </c>
      <c r="L74" t="n">
        <v>0</v>
      </c>
      <c r="M74" t="n">
        <v>0</v>
      </c>
      <c r="N74" t="n">
        <v>0</v>
      </c>
      <c r="O74" t="n">
        <v>0</v>
      </c>
      <c r="P74" t="n">
        <v>0</v>
      </c>
      <c r="Q74" t="n">
        <v>0</v>
      </c>
      <c r="R74" t="n">
        <v>0</v>
      </c>
      <c r="S74" t="n">
        <v>0</v>
      </c>
      <c r="T74" t="n">
        <v>0</v>
      </c>
      <c r="U74" t="n">
        <v>0</v>
      </c>
      <c r="V74" s="2" t="inlineStr"/>
    </row>
    <row r="75" ht="15" customHeight="1">
      <c r="A75" t="inlineStr">
        <is>
          <t>A 32287-2025</t>
        </is>
      </c>
      <c r="B75" t="inlineStr">
        <is>
          <t>avverkningsanmälan</t>
        </is>
      </c>
      <c r="C75" t="inlineStr">
        <is>
          <t>Föryngringsavverkning</t>
        </is>
      </c>
      <c r="D75" s="1" t="n">
        <v>45835</v>
      </c>
      <c r="E75" s="1" t="n">
        <v>46261</v>
      </c>
      <c r="F75" t="inlineStr">
        <is>
          <t>ÖREBRO LÄN</t>
        </is>
      </c>
      <c r="G75" t="inlineStr">
        <is>
          <t>KARLSKOGA</t>
        </is>
      </c>
      <c r="H75" t="inlineStr">
        <is>
          <t>Kyrkan</t>
        </is>
      </c>
      <c r="I75" t="n">
        <v>10.9</v>
      </c>
      <c r="J75" t="n">
        <v>0</v>
      </c>
      <c r="K75" t="n">
        <v>0</v>
      </c>
      <c r="L75" t="n">
        <v>0</v>
      </c>
      <c r="M75" t="n">
        <v>0</v>
      </c>
      <c r="N75" t="n">
        <v>0</v>
      </c>
      <c r="O75" t="n">
        <v>0</v>
      </c>
      <c r="P75" t="n">
        <v>0</v>
      </c>
      <c r="Q75" t="n">
        <v>0</v>
      </c>
      <c r="R75" t="n">
        <v>0</v>
      </c>
      <c r="S75" t="n">
        <v>0</v>
      </c>
      <c r="T75" t="n">
        <v>0</v>
      </c>
      <c r="U75" t="n">
        <v>0</v>
      </c>
      <c r="V75" s="2" t="inlineStr"/>
    </row>
    <row r="76" ht="15" customHeight="1">
      <c r="A76" t="inlineStr">
        <is>
          <t>A 9917-2026</t>
        </is>
      </c>
      <c r="B76" t="inlineStr">
        <is>
          <t>avverkningsanmälan</t>
        </is>
      </c>
      <c r="C76" t="inlineStr">
        <is>
          <t>Föryngringsavverkning</t>
        </is>
      </c>
      <c r="D76" s="1" t="n">
        <v>46073</v>
      </c>
      <c r="E76" s="1" t="n">
        <v>46261</v>
      </c>
      <c r="F76" t="inlineStr">
        <is>
          <t>ÖREBRO LÄN</t>
        </is>
      </c>
      <c r="G76" t="inlineStr">
        <is>
          <t>KARLSKOGA</t>
        </is>
      </c>
      <c r="I76" t="n">
        <v>3.1</v>
      </c>
      <c r="J76" t="n">
        <v>0</v>
      </c>
      <c r="K76" t="n">
        <v>0</v>
      </c>
      <c r="L76" t="n">
        <v>0</v>
      </c>
      <c r="M76" t="n">
        <v>0</v>
      </c>
      <c r="N76" t="n">
        <v>0</v>
      </c>
      <c r="O76" t="n">
        <v>0</v>
      </c>
      <c r="P76" t="n">
        <v>0</v>
      </c>
      <c r="Q76" t="n">
        <v>0</v>
      </c>
      <c r="R76" t="n">
        <v>0</v>
      </c>
      <c r="S76" t="n">
        <v>0</v>
      </c>
      <c r="T76" t="n">
        <v>0</v>
      </c>
      <c r="U76" t="n">
        <v>0</v>
      </c>
      <c r="V76" s="2" t="inlineStr"/>
    </row>
    <row r="77" ht="15" customHeight="1">
      <c r="A77" t="inlineStr">
        <is>
          <t>A 20289-2024</t>
        </is>
      </c>
      <c r="B77" t="inlineStr">
        <is>
          <t>avverkningsanmälan</t>
        </is>
      </c>
      <c r="C77" t="inlineStr">
        <is>
          <t>Föryngringsavverkning</t>
        </is>
      </c>
      <c r="D77" s="1" t="n">
        <v>45435</v>
      </c>
      <c r="E77" s="1" t="n">
        <v>46261</v>
      </c>
      <c r="F77" t="inlineStr">
        <is>
          <t>ÖREBRO LÄN</t>
        </is>
      </c>
      <c r="G77" t="inlineStr">
        <is>
          <t>KARLSKOGA</t>
        </is>
      </c>
      <c r="H77" t="inlineStr">
        <is>
          <t>Sveaskog</t>
        </is>
      </c>
      <c r="I77" t="n">
        <v>0.7</v>
      </c>
      <c r="J77" t="n">
        <v>0</v>
      </c>
      <c r="K77" t="n">
        <v>0</v>
      </c>
      <c r="L77" t="n">
        <v>0</v>
      </c>
      <c r="M77" t="n">
        <v>0</v>
      </c>
      <c r="N77" t="n">
        <v>0</v>
      </c>
      <c r="O77" t="n">
        <v>0</v>
      </c>
      <c r="P77" t="n">
        <v>0</v>
      </c>
      <c r="Q77" t="n">
        <v>0</v>
      </c>
      <c r="R77" t="n">
        <v>0</v>
      </c>
      <c r="S77" t="n">
        <v>0</v>
      </c>
      <c r="T77" t="n">
        <v>0</v>
      </c>
      <c r="U77" t="n">
        <v>0</v>
      </c>
      <c r="V77" s="2" t="inlineStr"/>
    </row>
    <row r="78" ht="15" customHeight="1">
      <c r="A78" t="inlineStr">
        <is>
          <t>A 13473-2026</t>
        </is>
      </c>
      <c r="B78" t="inlineStr">
        <is>
          <t>avverkningsanmälan</t>
        </is>
      </c>
      <c r="C78" t="inlineStr">
        <is>
          <t>Föryngringsavverkning</t>
        </is>
      </c>
      <c r="D78" s="1" t="n">
        <v>46094</v>
      </c>
      <c r="E78" s="1" t="n">
        <v>46261</v>
      </c>
      <c r="F78" t="inlineStr">
        <is>
          <t>ÖREBRO LÄN</t>
        </is>
      </c>
      <c r="G78" t="inlineStr">
        <is>
          <t>KARLSKOGA</t>
        </is>
      </c>
      <c r="I78" t="n">
        <v>1</v>
      </c>
      <c r="J78" t="n">
        <v>0</v>
      </c>
      <c r="K78" t="n">
        <v>0</v>
      </c>
      <c r="L78" t="n">
        <v>0</v>
      </c>
      <c r="M78" t="n">
        <v>0</v>
      </c>
      <c r="N78" t="n">
        <v>0</v>
      </c>
      <c r="O78" t="n">
        <v>0</v>
      </c>
      <c r="P78" t="n">
        <v>0</v>
      </c>
      <c r="Q78" t="n">
        <v>0</v>
      </c>
      <c r="R78" t="n">
        <v>0</v>
      </c>
      <c r="S78" t="n">
        <v>0</v>
      </c>
      <c r="T78" t="n">
        <v>0</v>
      </c>
      <c r="U78" t="n">
        <v>0</v>
      </c>
      <c r="V78" s="2" t="inlineStr"/>
    </row>
    <row r="79" ht="15" customHeight="1">
      <c r="A79" t="inlineStr">
        <is>
          <t>A 14580-2026</t>
        </is>
      </c>
      <c r="B79" t="inlineStr">
        <is>
          <t>avverkningsanmälan</t>
        </is>
      </c>
      <c r="C79" t="inlineStr">
        <is>
          <t>Föryngringsavverkning</t>
        </is>
      </c>
      <c r="D79" s="1" t="n">
        <v>46101</v>
      </c>
      <c r="E79" s="1" t="n">
        <v>46261</v>
      </c>
      <c r="F79" t="inlineStr">
        <is>
          <t>ÖREBRO LÄN</t>
        </is>
      </c>
      <c r="G79" t="inlineStr">
        <is>
          <t>KARLSKOGA</t>
        </is>
      </c>
      <c r="H79" t="inlineStr">
        <is>
          <t>Sveaskog</t>
        </is>
      </c>
      <c r="I79" t="n">
        <v>1.6</v>
      </c>
      <c r="J79" t="n">
        <v>0</v>
      </c>
      <c r="K79" t="n">
        <v>0</v>
      </c>
      <c r="L79" t="n">
        <v>0</v>
      </c>
      <c r="M79" t="n">
        <v>0</v>
      </c>
      <c r="N79" t="n">
        <v>0</v>
      </c>
      <c r="O79" t="n">
        <v>0</v>
      </c>
      <c r="P79" t="n">
        <v>0</v>
      </c>
      <c r="Q79" t="n">
        <v>0</v>
      </c>
      <c r="R79" t="n">
        <v>0</v>
      </c>
      <c r="S79" t="n">
        <v>0</v>
      </c>
      <c r="T79" t="n">
        <v>0</v>
      </c>
      <c r="U79" t="n">
        <v>0</v>
      </c>
      <c r="V79" s="2" t="inlineStr"/>
    </row>
    <row r="80" ht="15" customHeight="1">
      <c r="A80" t="inlineStr">
        <is>
          <t>A 38190-2024</t>
        </is>
      </c>
      <c r="B80" t="inlineStr">
        <is>
          <t>avverkningsanmälan</t>
        </is>
      </c>
      <c r="C80" t="inlineStr">
        <is>
          <t>Föryngringsavverkning</t>
        </is>
      </c>
      <c r="D80" s="1" t="n">
        <v>45545</v>
      </c>
      <c r="E80" s="1" t="n">
        <v>46261</v>
      </c>
      <c r="F80" t="inlineStr">
        <is>
          <t>ÖREBRO LÄN</t>
        </is>
      </c>
      <c r="G80" t="inlineStr">
        <is>
          <t>KARLSKOGA</t>
        </is>
      </c>
      <c r="I80" t="n">
        <v>2.1</v>
      </c>
      <c r="J80" t="n">
        <v>0</v>
      </c>
      <c r="K80" t="n">
        <v>0</v>
      </c>
      <c r="L80" t="n">
        <v>0</v>
      </c>
      <c r="M80" t="n">
        <v>0</v>
      </c>
      <c r="N80" t="n">
        <v>0</v>
      </c>
      <c r="O80" t="n">
        <v>0</v>
      </c>
      <c r="P80" t="n">
        <v>0</v>
      </c>
      <c r="Q80" t="n">
        <v>0</v>
      </c>
      <c r="R80" t="n">
        <v>0</v>
      </c>
      <c r="S80" t="n">
        <v>0</v>
      </c>
      <c r="T80" t="n">
        <v>0</v>
      </c>
      <c r="U80" t="n">
        <v>0</v>
      </c>
      <c r="V80" s="2" t="inlineStr"/>
    </row>
    <row r="81" ht="15" customHeight="1">
      <c r="A81" t="inlineStr">
        <is>
          <t>A 12897-2026</t>
        </is>
      </c>
      <c r="B81" t="inlineStr">
        <is>
          <t>avverkningsanmälan</t>
        </is>
      </c>
      <c r="C81" t="inlineStr">
        <is>
          <t>Föryngringsavverkning</t>
        </is>
      </c>
      <c r="D81" s="1" t="n">
        <v>46092</v>
      </c>
      <c r="E81" s="1" t="n">
        <v>46261</v>
      </c>
      <c r="F81" t="inlineStr">
        <is>
          <t>ÖREBRO LÄN</t>
        </is>
      </c>
      <c r="G81" t="inlineStr">
        <is>
          <t>KARLSKOGA</t>
        </is>
      </c>
      <c r="I81" t="n">
        <v>1.3</v>
      </c>
      <c r="J81" t="n">
        <v>0</v>
      </c>
      <c r="K81" t="n">
        <v>0</v>
      </c>
      <c r="L81" t="n">
        <v>0</v>
      </c>
      <c r="M81" t="n">
        <v>0</v>
      </c>
      <c r="N81" t="n">
        <v>0</v>
      </c>
      <c r="O81" t="n">
        <v>0</v>
      </c>
      <c r="P81" t="n">
        <v>0</v>
      </c>
      <c r="Q81" t="n">
        <v>0</v>
      </c>
      <c r="R81" t="n">
        <v>0</v>
      </c>
      <c r="S81" t="n">
        <v>0</v>
      </c>
      <c r="T81" t="n">
        <v>0</v>
      </c>
      <c r="U81" t="n">
        <v>0</v>
      </c>
      <c r="V81" s="2" t="inlineStr"/>
    </row>
    <row r="82" ht="15" customHeight="1">
      <c r="A82" t="inlineStr">
        <is>
          <t>A 50958-2025</t>
        </is>
      </c>
      <c r="B82" t="inlineStr">
        <is>
          <t>avverkningsanmälan</t>
        </is>
      </c>
      <c r="C82" t="inlineStr">
        <is>
          <t>Föryngringsavverkning</t>
        </is>
      </c>
      <c r="D82" s="1" t="n">
        <v>45946</v>
      </c>
      <c r="E82" s="1" t="n">
        <v>46261</v>
      </c>
      <c r="F82" t="inlineStr">
        <is>
          <t>ÖREBRO LÄN</t>
        </is>
      </c>
      <c r="G82" t="inlineStr">
        <is>
          <t>KARLSKOGA</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9712-2024</t>
        </is>
      </c>
      <c r="B83" t="inlineStr">
        <is>
          <t>avverkningsanmälan</t>
        </is>
      </c>
      <c r="C83" t="inlineStr">
        <is>
          <t>Föryngringsavverkning</t>
        </is>
      </c>
      <c r="D83" s="1" t="n">
        <v>45362</v>
      </c>
      <c r="E83" s="1" t="n">
        <v>46261</v>
      </c>
      <c r="F83" t="inlineStr">
        <is>
          <t>ÖREBRO LÄN</t>
        </is>
      </c>
      <c r="G83" t="inlineStr">
        <is>
          <t>KARLSKOGA</t>
        </is>
      </c>
      <c r="H83" t="inlineStr">
        <is>
          <t>Kyrkan</t>
        </is>
      </c>
      <c r="I83" t="n">
        <v>0.8</v>
      </c>
      <c r="J83" t="n">
        <v>0</v>
      </c>
      <c r="K83" t="n">
        <v>0</v>
      </c>
      <c r="L83" t="n">
        <v>0</v>
      </c>
      <c r="M83" t="n">
        <v>0</v>
      </c>
      <c r="N83" t="n">
        <v>0</v>
      </c>
      <c r="O83" t="n">
        <v>0</v>
      </c>
      <c r="P83" t="n">
        <v>0</v>
      </c>
      <c r="Q83" t="n">
        <v>0</v>
      </c>
      <c r="R83" t="n">
        <v>0</v>
      </c>
      <c r="S83" t="n">
        <v>0</v>
      </c>
      <c r="T83" t="n">
        <v>0</v>
      </c>
      <c r="U83" t="n">
        <v>0</v>
      </c>
      <c r="V83" s="2" t="inlineStr"/>
    </row>
    <row r="84" ht="15" customHeight="1">
      <c r="A84" t="inlineStr">
        <is>
          <t>A 16782-2026</t>
        </is>
      </c>
      <c r="B84" t="inlineStr">
        <is>
          <t>avverkningsanmälan</t>
        </is>
      </c>
      <c r="C84" t="inlineStr">
        <is>
          <t>Föryngringsavverkning</t>
        </is>
      </c>
      <c r="D84" s="1" t="n">
        <v>46113</v>
      </c>
      <c r="E84" s="1" t="n">
        <v>46261</v>
      </c>
      <c r="F84" t="inlineStr">
        <is>
          <t>ÖREBRO LÄN</t>
        </is>
      </c>
      <c r="G84" t="inlineStr">
        <is>
          <t>KARLSKOGA</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16783-2026</t>
        </is>
      </c>
      <c r="B85" t="inlineStr">
        <is>
          <t>avverkningsanmälan</t>
        </is>
      </c>
      <c r="C85" t="inlineStr">
        <is>
          <t>Föryngringsavverkning</t>
        </is>
      </c>
      <c r="D85" s="1" t="n">
        <v>46113</v>
      </c>
      <c r="E85" s="1" t="n">
        <v>46261</v>
      </c>
      <c r="F85" t="inlineStr">
        <is>
          <t>ÖREBRO LÄN</t>
        </is>
      </c>
      <c r="G85" t="inlineStr">
        <is>
          <t>KARLSKOGA</t>
        </is>
      </c>
      <c r="H85" t="inlineStr">
        <is>
          <t>Sveaskog</t>
        </is>
      </c>
      <c r="I85" t="n">
        <v>1.7</v>
      </c>
      <c r="J85" t="n">
        <v>0</v>
      </c>
      <c r="K85" t="n">
        <v>0</v>
      </c>
      <c r="L85" t="n">
        <v>0</v>
      </c>
      <c r="M85" t="n">
        <v>0</v>
      </c>
      <c r="N85" t="n">
        <v>0</v>
      </c>
      <c r="O85" t="n">
        <v>0</v>
      </c>
      <c r="P85" t="n">
        <v>0</v>
      </c>
      <c r="Q85" t="n">
        <v>0</v>
      </c>
      <c r="R85" t="n">
        <v>0</v>
      </c>
      <c r="S85" t="n">
        <v>0</v>
      </c>
      <c r="T85" t="n">
        <v>0</v>
      </c>
      <c r="U85" t="n">
        <v>0</v>
      </c>
      <c r="V85" s="2" t="inlineStr"/>
    </row>
    <row r="86" ht="15" customHeight="1">
      <c r="A86" t="inlineStr">
        <is>
          <t>A 16787-2026</t>
        </is>
      </c>
      <c r="B86" t="inlineStr">
        <is>
          <t>avverkningsanmälan</t>
        </is>
      </c>
      <c r="C86" t="inlineStr">
        <is>
          <t>Föryngringsavverkning</t>
        </is>
      </c>
      <c r="D86" s="1" t="n">
        <v>46113</v>
      </c>
      <c r="E86" s="1" t="n">
        <v>46261</v>
      </c>
      <c r="F86" t="inlineStr">
        <is>
          <t>ÖREBRO LÄN</t>
        </is>
      </c>
      <c r="G86" t="inlineStr">
        <is>
          <t>KARLSKOGA</t>
        </is>
      </c>
      <c r="H86" t="inlineStr">
        <is>
          <t>Sveaskog</t>
        </is>
      </c>
      <c r="I86" t="n">
        <v>2.8</v>
      </c>
      <c r="J86" t="n">
        <v>0</v>
      </c>
      <c r="K86" t="n">
        <v>0</v>
      </c>
      <c r="L86" t="n">
        <v>0</v>
      </c>
      <c r="M86" t="n">
        <v>0</v>
      </c>
      <c r="N86" t="n">
        <v>0</v>
      </c>
      <c r="O86" t="n">
        <v>0</v>
      </c>
      <c r="P86" t="n">
        <v>0</v>
      </c>
      <c r="Q86" t="n">
        <v>0</v>
      </c>
      <c r="R86" t="n">
        <v>0</v>
      </c>
      <c r="S86" t="n">
        <v>0</v>
      </c>
      <c r="T86" t="n">
        <v>0</v>
      </c>
      <c r="U86" t="n">
        <v>0</v>
      </c>
      <c r="V86" s="2" t="inlineStr"/>
    </row>
    <row r="87" ht="15" customHeight="1">
      <c r="A87" t="inlineStr">
        <is>
          <t>A 15060-2026</t>
        </is>
      </c>
      <c r="B87" t="inlineStr">
        <is>
          <t>avverkningsanmälan</t>
        </is>
      </c>
      <c r="C87" t="inlineStr">
        <is>
          <t>Föryngringsavverkning</t>
        </is>
      </c>
      <c r="D87" s="1" t="n">
        <v>46104</v>
      </c>
      <c r="E87" s="1" t="n">
        <v>46261</v>
      </c>
      <c r="F87" t="inlineStr">
        <is>
          <t>ÖREBRO LÄN</t>
        </is>
      </c>
      <c r="G87" t="inlineStr">
        <is>
          <t>KARLSKOGA</t>
        </is>
      </c>
      <c r="I87" t="n">
        <v>11.5</v>
      </c>
      <c r="J87" t="n">
        <v>0</v>
      </c>
      <c r="K87" t="n">
        <v>0</v>
      </c>
      <c r="L87" t="n">
        <v>0</v>
      </c>
      <c r="M87" t="n">
        <v>0</v>
      </c>
      <c r="N87" t="n">
        <v>0</v>
      </c>
      <c r="O87" t="n">
        <v>0</v>
      </c>
      <c r="P87" t="n">
        <v>0</v>
      </c>
      <c r="Q87" t="n">
        <v>0</v>
      </c>
      <c r="R87" t="n">
        <v>0</v>
      </c>
      <c r="S87" t="n">
        <v>0</v>
      </c>
      <c r="T87" t="n">
        <v>0</v>
      </c>
      <c r="U87" t="n">
        <v>0</v>
      </c>
      <c r="V87" s="2" t="inlineStr"/>
    </row>
    <row r="88" ht="15" customHeight="1">
      <c r="A88" t="inlineStr">
        <is>
          <t>A 15058-2026</t>
        </is>
      </c>
      <c r="B88" t="inlineStr">
        <is>
          <t>avverkningsanmälan</t>
        </is>
      </c>
      <c r="C88" t="inlineStr">
        <is>
          <t>Föryngringsavverkning</t>
        </is>
      </c>
      <c r="D88" s="1" t="n">
        <v>46104</v>
      </c>
      <c r="E88" s="1" t="n">
        <v>46261</v>
      </c>
      <c r="F88" t="inlineStr">
        <is>
          <t>ÖREBRO LÄN</t>
        </is>
      </c>
      <c r="G88" t="inlineStr">
        <is>
          <t>KARLSKOGA</t>
        </is>
      </c>
      <c r="I88" t="n">
        <v>4.3</v>
      </c>
      <c r="J88" t="n">
        <v>0</v>
      </c>
      <c r="K88" t="n">
        <v>0</v>
      </c>
      <c r="L88" t="n">
        <v>0</v>
      </c>
      <c r="M88" t="n">
        <v>0</v>
      </c>
      <c r="N88" t="n">
        <v>0</v>
      </c>
      <c r="O88" t="n">
        <v>0</v>
      </c>
      <c r="P88" t="n">
        <v>0</v>
      </c>
      <c r="Q88" t="n">
        <v>0</v>
      </c>
      <c r="R88" t="n">
        <v>0</v>
      </c>
      <c r="S88" t="n">
        <v>0</v>
      </c>
      <c r="T88" t="n">
        <v>0</v>
      </c>
      <c r="U88" t="n">
        <v>0</v>
      </c>
      <c r="V88" s="2" t="inlineStr"/>
    </row>
    <row r="89" ht="15" customHeight="1">
      <c r="A89" t="inlineStr">
        <is>
          <t>A 17734-2026</t>
        </is>
      </c>
      <c r="B89" t="inlineStr">
        <is>
          <t>avverkningsanmälan</t>
        </is>
      </c>
      <c r="C89" t="inlineStr">
        <is>
          <t>Föryngringsavverkning</t>
        </is>
      </c>
      <c r="D89" s="1" t="n">
        <v>46122</v>
      </c>
      <c r="E89" s="1" t="n">
        <v>46261</v>
      </c>
      <c r="F89" t="inlineStr">
        <is>
          <t>ÖREBRO LÄN</t>
        </is>
      </c>
      <c r="G89" t="inlineStr">
        <is>
          <t>KARLSKOGA</t>
        </is>
      </c>
      <c r="H89" t="inlineStr">
        <is>
          <t>Sveaskog</t>
        </is>
      </c>
      <c r="I89" t="n">
        <v>3</v>
      </c>
      <c r="J89" t="n">
        <v>0</v>
      </c>
      <c r="K89" t="n">
        <v>0</v>
      </c>
      <c r="L89" t="n">
        <v>0</v>
      </c>
      <c r="M89" t="n">
        <v>0</v>
      </c>
      <c r="N89" t="n">
        <v>0</v>
      </c>
      <c r="O89" t="n">
        <v>0</v>
      </c>
      <c r="P89" t="n">
        <v>0</v>
      </c>
      <c r="Q89" t="n">
        <v>0</v>
      </c>
      <c r="R89" t="n">
        <v>0</v>
      </c>
      <c r="S89" t="n">
        <v>0</v>
      </c>
      <c r="T89" t="n">
        <v>0</v>
      </c>
      <c r="U89" t="n">
        <v>0</v>
      </c>
      <c r="V89" s="2" t="inlineStr"/>
    </row>
    <row r="90" ht="15" customHeight="1">
      <c r="A90" t="inlineStr">
        <is>
          <t>A 19011-2026</t>
        </is>
      </c>
      <c r="B90" t="inlineStr">
        <is>
          <t>avverkningsanmälan</t>
        </is>
      </c>
      <c r="C90" t="inlineStr">
        <is>
          <t>Föryngringsavverkning</t>
        </is>
      </c>
      <c r="D90" s="1" t="n">
        <v>46130</v>
      </c>
      <c r="E90" s="1" t="n">
        <v>46261</v>
      </c>
      <c r="F90" t="inlineStr">
        <is>
          <t>ÖREBRO LÄN</t>
        </is>
      </c>
      <c r="G90" t="inlineStr">
        <is>
          <t>KARLSKOGA</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4058-2022</t>
        </is>
      </c>
      <c r="B91" t="inlineStr">
        <is>
          <t>avverkningsanmälan</t>
        </is>
      </c>
      <c r="C91" t="inlineStr">
        <is>
          <t>Föryngringsavverkning</t>
        </is>
      </c>
      <c r="D91" s="1" t="n">
        <v>44588</v>
      </c>
      <c r="E91" s="1" t="n">
        <v>46261</v>
      </c>
      <c r="F91" t="inlineStr">
        <is>
          <t>ÖREBRO LÄN</t>
        </is>
      </c>
      <c r="G91" t="inlineStr">
        <is>
          <t>KARLSKOGA</t>
        </is>
      </c>
      <c r="I91" t="n">
        <v>1.7</v>
      </c>
      <c r="J91" t="n">
        <v>0</v>
      </c>
      <c r="K91" t="n">
        <v>0</v>
      </c>
      <c r="L91" t="n">
        <v>0</v>
      </c>
      <c r="M91" t="n">
        <v>0</v>
      </c>
      <c r="N91" t="n">
        <v>0</v>
      </c>
      <c r="O91" t="n">
        <v>0</v>
      </c>
      <c r="P91" t="n">
        <v>0</v>
      </c>
      <c r="Q91" t="n">
        <v>0</v>
      </c>
      <c r="R91" t="n">
        <v>0</v>
      </c>
      <c r="S91" t="n">
        <v>0</v>
      </c>
      <c r="T91" t="n">
        <v>0</v>
      </c>
      <c r="U91" t="n">
        <v>0</v>
      </c>
      <c r="V91" s="2" t="inlineStr"/>
    </row>
    <row r="92" ht="15" customHeight="1">
      <c r="A92" t="inlineStr">
        <is>
          <t>A 15256-2025</t>
        </is>
      </c>
      <c r="B92" t="inlineStr">
        <is>
          <t>avverkningsanmälan</t>
        </is>
      </c>
      <c r="C92" t="inlineStr">
        <is>
          <t>Föryngringsavverkning</t>
        </is>
      </c>
      <c r="D92" s="1" t="n">
        <v>45744</v>
      </c>
      <c r="E92" s="1" t="n">
        <v>46261</v>
      </c>
      <c r="F92" t="inlineStr">
        <is>
          <t>ÖREBRO LÄN</t>
        </is>
      </c>
      <c r="G92" t="inlineStr">
        <is>
          <t>KARLSKOGA</t>
        </is>
      </c>
      <c r="H92" t="inlineStr">
        <is>
          <t>Sveaskog</t>
        </is>
      </c>
      <c r="I92" t="n">
        <v>5.5</v>
      </c>
      <c r="J92" t="n">
        <v>0</v>
      </c>
      <c r="K92" t="n">
        <v>0</v>
      </c>
      <c r="L92" t="n">
        <v>0</v>
      </c>
      <c r="M92" t="n">
        <v>0</v>
      </c>
      <c r="N92" t="n">
        <v>0</v>
      </c>
      <c r="O92" t="n">
        <v>0</v>
      </c>
      <c r="P92" t="n">
        <v>0</v>
      </c>
      <c r="Q92" t="n">
        <v>0</v>
      </c>
      <c r="R92" t="n">
        <v>0</v>
      </c>
      <c r="S92" t="n">
        <v>0</v>
      </c>
      <c r="T92" t="n">
        <v>0</v>
      </c>
      <c r="U92" t="n">
        <v>0</v>
      </c>
      <c r="V92" s="2" t="inlineStr"/>
    </row>
    <row r="93" ht="15" customHeight="1">
      <c r="A93" t="inlineStr">
        <is>
          <t>A 19010-2026</t>
        </is>
      </c>
      <c r="B93" t="inlineStr">
        <is>
          <t>avverkningsanmälan</t>
        </is>
      </c>
      <c r="C93" t="inlineStr">
        <is>
          <t>Föryngringsavverkning</t>
        </is>
      </c>
      <c r="D93" s="1" t="n">
        <v>46130</v>
      </c>
      <c r="E93" s="1" t="n">
        <v>46261</v>
      </c>
      <c r="F93" t="inlineStr">
        <is>
          <t>ÖREBRO LÄN</t>
        </is>
      </c>
      <c r="G93" t="inlineStr">
        <is>
          <t>KARLSKOGA</t>
        </is>
      </c>
      <c r="H93" t="inlineStr">
        <is>
          <t>Sveaskog</t>
        </is>
      </c>
      <c r="I93" t="n">
        <v>1.9</v>
      </c>
      <c r="J93" t="n">
        <v>0</v>
      </c>
      <c r="K93" t="n">
        <v>0</v>
      </c>
      <c r="L93" t="n">
        <v>0</v>
      </c>
      <c r="M93" t="n">
        <v>0</v>
      </c>
      <c r="N93" t="n">
        <v>0</v>
      </c>
      <c r="O93" t="n">
        <v>0</v>
      </c>
      <c r="P93" t="n">
        <v>0</v>
      </c>
      <c r="Q93" t="n">
        <v>0</v>
      </c>
      <c r="R93" t="n">
        <v>0</v>
      </c>
      <c r="S93" t="n">
        <v>0</v>
      </c>
      <c r="T93" t="n">
        <v>0</v>
      </c>
      <c r="U93" t="n">
        <v>0</v>
      </c>
      <c r="V93" s="2" t="inlineStr"/>
    </row>
    <row r="94" ht="15" customHeight="1">
      <c r="A94" t="inlineStr">
        <is>
          <t>A 19009-2026</t>
        </is>
      </c>
      <c r="B94" t="inlineStr">
        <is>
          <t>avverkningsanmälan</t>
        </is>
      </c>
      <c r="C94" t="inlineStr">
        <is>
          <t>Föryngringsavverkning</t>
        </is>
      </c>
      <c r="D94" s="1" t="n">
        <v>46130</v>
      </c>
      <c r="E94" s="1" t="n">
        <v>46261</v>
      </c>
      <c r="F94" t="inlineStr">
        <is>
          <t>ÖREBRO LÄN</t>
        </is>
      </c>
      <c r="G94" t="inlineStr">
        <is>
          <t>KARLSKOGA</t>
        </is>
      </c>
      <c r="H94" t="inlineStr">
        <is>
          <t>Sveaskog</t>
        </is>
      </c>
      <c r="I94" t="n">
        <v>6.3</v>
      </c>
      <c r="J94" t="n">
        <v>0</v>
      </c>
      <c r="K94" t="n">
        <v>0</v>
      </c>
      <c r="L94" t="n">
        <v>0</v>
      </c>
      <c r="M94" t="n">
        <v>0</v>
      </c>
      <c r="N94" t="n">
        <v>0</v>
      </c>
      <c r="O94" t="n">
        <v>0</v>
      </c>
      <c r="P94" t="n">
        <v>0</v>
      </c>
      <c r="Q94" t="n">
        <v>0</v>
      </c>
      <c r="R94" t="n">
        <v>0</v>
      </c>
      <c r="S94" t="n">
        <v>0</v>
      </c>
      <c r="T94" t="n">
        <v>0</v>
      </c>
      <c r="U94" t="n">
        <v>0</v>
      </c>
      <c r="V94" s="2" t="inlineStr"/>
    </row>
    <row r="95" ht="15" customHeight="1">
      <c r="A95" t="inlineStr">
        <is>
          <t>A 19008-2026</t>
        </is>
      </c>
      <c r="B95" t="inlineStr">
        <is>
          <t>avverkningsanmälan</t>
        </is>
      </c>
      <c r="C95" t="inlineStr">
        <is>
          <t>Föryngringsavverkning</t>
        </is>
      </c>
      <c r="D95" s="1" t="n">
        <v>46130</v>
      </c>
      <c r="E95" s="1" t="n">
        <v>46261</v>
      </c>
      <c r="F95" t="inlineStr">
        <is>
          <t>ÖREBRO LÄN</t>
        </is>
      </c>
      <c r="G95" t="inlineStr">
        <is>
          <t>KARLSKOGA</t>
        </is>
      </c>
      <c r="H95" t="inlineStr">
        <is>
          <t>Sveaskog</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19663-2026</t>
        </is>
      </c>
      <c r="B96" t="inlineStr">
        <is>
          <t>avverkningsanmälan</t>
        </is>
      </c>
      <c r="C96" t="inlineStr">
        <is>
          <t>Föryngringsavverkning</t>
        </is>
      </c>
      <c r="D96" s="1" t="n">
        <v>46134</v>
      </c>
      <c r="E96" s="1" t="n">
        <v>46261</v>
      </c>
      <c r="F96" t="inlineStr">
        <is>
          <t>ÖREBRO LÄN</t>
        </is>
      </c>
      <c r="G96" t="inlineStr">
        <is>
          <t>KARLSKOGA</t>
        </is>
      </c>
      <c r="H96" t="inlineStr">
        <is>
          <t>Sveaskog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55025-2025</t>
        </is>
      </c>
      <c r="B97" t="inlineStr">
        <is>
          <t>avverkningsanmälan</t>
        </is>
      </c>
      <c r="C97" t="inlineStr">
        <is>
          <t>Föryngringsavverkning</t>
        </is>
      </c>
      <c r="D97" s="1" t="n">
        <v>45967</v>
      </c>
      <c r="E97" s="1" t="n">
        <v>46261</v>
      </c>
      <c r="F97" t="inlineStr">
        <is>
          <t>ÖREBRO LÄN</t>
        </is>
      </c>
      <c r="G97" t="inlineStr">
        <is>
          <t>KARLSKOGA</t>
        </is>
      </c>
      <c r="I97" t="n">
        <v>2.4</v>
      </c>
      <c r="J97" t="n">
        <v>0</v>
      </c>
      <c r="K97" t="n">
        <v>0</v>
      </c>
      <c r="L97" t="n">
        <v>0</v>
      </c>
      <c r="M97" t="n">
        <v>0</v>
      </c>
      <c r="N97" t="n">
        <v>0</v>
      </c>
      <c r="O97" t="n">
        <v>0</v>
      </c>
      <c r="P97" t="n">
        <v>0</v>
      </c>
      <c r="Q97" t="n">
        <v>0</v>
      </c>
      <c r="R97" t="n">
        <v>0</v>
      </c>
      <c r="S97" t="n">
        <v>0</v>
      </c>
      <c r="T97" t="n">
        <v>0</v>
      </c>
      <c r="U97" t="n">
        <v>0</v>
      </c>
      <c r="V97" s="2" t="inlineStr"/>
    </row>
    <row r="98" ht="15" customHeight="1">
      <c r="A98" t="inlineStr">
        <is>
          <t>A 43075-2023</t>
        </is>
      </c>
      <c r="B98" t="inlineStr">
        <is>
          <t>avverkningsanmälan</t>
        </is>
      </c>
      <c r="C98" t="inlineStr">
        <is>
          <t>Föryngringsavverkning</t>
        </is>
      </c>
      <c r="D98" s="1" t="n">
        <v>45182</v>
      </c>
      <c r="E98" s="1" t="n">
        <v>46261</v>
      </c>
      <c r="F98" t="inlineStr">
        <is>
          <t>ÖREBRO LÄN</t>
        </is>
      </c>
      <c r="G98" t="inlineStr">
        <is>
          <t>KARLSKOGA</t>
        </is>
      </c>
      <c r="I98" t="n">
        <v>3.1</v>
      </c>
      <c r="J98" t="n">
        <v>0</v>
      </c>
      <c r="K98" t="n">
        <v>0</v>
      </c>
      <c r="L98" t="n">
        <v>0</v>
      </c>
      <c r="M98" t="n">
        <v>0</v>
      </c>
      <c r="N98" t="n">
        <v>0</v>
      </c>
      <c r="O98" t="n">
        <v>0</v>
      </c>
      <c r="P98" t="n">
        <v>0</v>
      </c>
      <c r="Q98" t="n">
        <v>0</v>
      </c>
      <c r="R98" t="n">
        <v>0</v>
      </c>
      <c r="S98" t="n">
        <v>0</v>
      </c>
      <c r="T98" t="n">
        <v>0</v>
      </c>
      <c r="U98" t="n">
        <v>0</v>
      </c>
      <c r="V98" s="2" t="inlineStr"/>
    </row>
    <row r="99" ht="15" customHeight="1">
      <c r="A99" t="inlineStr">
        <is>
          <t>A 23263-2022</t>
        </is>
      </c>
      <c r="B99" t="inlineStr">
        <is>
          <t>avverkningsanmälan</t>
        </is>
      </c>
      <c r="C99" t="inlineStr">
        <is>
          <t>Föryngringsavverkning</t>
        </is>
      </c>
      <c r="D99" s="1" t="n">
        <v>44720</v>
      </c>
      <c r="E99" s="1" t="n">
        <v>46261</v>
      </c>
      <c r="F99" t="inlineStr">
        <is>
          <t>ÖREBRO LÄN</t>
        </is>
      </c>
      <c r="G99" t="inlineStr">
        <is>
          <t>KARLSKOGA</t>
        </is>
      </c>
      <c r="I99" t="n">
        <v>2.2</v>
      </c>
      <c r="J99" t="n">
        <v>0</v>
      </c>
      <c r="K99" t="n">
        <v>0</v>
      </c>
      <c r="L99" t="n">
        <v>0</v>
      </c>
      <c r="M99" t="n">
        <v>0</v>
      </c>
      <c r="N99" t="n">
        <v>0</v>
      </c>
      <c r="O99" t="n">
        <v>0</v>
      </c>
      <c r="P99" t="n">
        <v>0</v>
      </c>
      <c r="Q99" t="n">
        <v>0</v>
      </c>
      <c r="R99" t="n">
        <v>0</v>
      </c>
      <c r="S99" t="n">
        <v>0</v>
      </c>
      <c r="T99" t="n">
        <v>0</v>
      </c>
      <c r="U99" t="n">
        <v>0</v>
      </c>
      <c r="V99" s="2" t="inlineStr"/>
    </row>
    <row r="100" ht="15" customHeight="1">
      <c r="A100" t="inlineStr">
        <is>
          <t>A 6835-2025</t>
        </is>
      </c>
      <c r="B100" t="inlineStr">
        <is>
          <t>avverkningsanmälan</t>
        </is>
      </c>
      <c r="C100" t="inlineStr">
        <is>
          <t>Föryngringsavverkning</t>
        </is>
      </c>
      <c r="D100" s="1" t="n">
        <v>45700</v>
      </c>
      <c r="E100" s="1" t="n">
        <v>46261</v>
      </c>
      <c r="F100" t="inlineStr">
        <is>
          <t>ÖREBRO LÄN</t>
        </is>
      </c>
      <c r="G100" t="inlineStr">
        <is>
          <t>KARLSKOGA</t>
        </is>
      </c>
      <c r="I100" t="n">
        <v>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21210-2025</t>
        </is>
      </c>
      <c r="B101" t="inlineStr">
        <is>
          <t>avverkningsanmälan</t>
        </is>
      </c>
      <c r="C101" t="inlineStr">
        <is>
          <t>Föryngringsavverkning</t>
        </is>
      </c>
      <c r="D101" s="1" t="n">
        <v>45779</v>
      </c>
      <c r="E101" s="1" t="n">
        <v>46261</v>
      </c>
      <c r="F101" t="inlineStr">
        <is>
          <t>ÖREBRO LÄN</t>
        </is>
      </c>
      <c r="G101" t="inlineStr">
        <is>
          <t>KARLSKOGA</t>
        </is>
      </c>
      <c r="H101" t="inlineStr">
        <is>
          <t>Sveaskog</t>
        </is>
      </c>
      <c r="I101" t="n">
        <v>1.1</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59522-2025</t>
        </is>
      </c>
      <c r="B102" t="inlineStr">
        <is>
          <t>avverkningsanmälan</t>
        </is>
      </c>
      <c r="C102" t="inlineStr">
        <is>
          <t>Avverkning för att bevara och utveckla /försöksver</t>
        </is>
      </c>
      <c r="D102" s="1" t="n">
        <v>45989</v>
      </c>
      <c r="E102" s="1" t="n">
        <v>46261</v>
      </c>
      <c r="F102" t="inlineStr">
        <is>
          <t>ÖREBRO LÄN</t>
        </is>
      </c>
      <c r="G102" t="inlineStr">
        <is>
          <t>KARLSKOGA</t>
        </is>
      </c>
      <c r="H102" t="inlineStr">
        <is>
          <t>Sveaskog</t>
        </is>
      </c>
      <c r="I102" t="n">
        <v>2.6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35444-2024</t>
        </is>
      </c>
      <c r="B103" t="inlineStr">
        <is>
          <t>avverkningsanmälan</t>
        </is>
      </c>
      <c r="C103" t="inlineStr">
        <is>
          <t>Föryngringsavverkning</t>
        </is>
      </c>
      <c r="D103" s="1" t="n">
        <v>45531</v>
      </c>
      <c r="E103" s="1" t="n">
        <v>46261</v>
      </c>
      <c r="F103" t="inlineStr">
        <is>
          <t>ÖREBRO LÄN</t>
        </is>
      </c>
      <c r="G103" t="inlineStr">
        <is>
          <t>KARLSKOGA</t>
        </is>
      </c>
      <c r="I103" t="n">
        <v>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35471-2024</t>
        </is>
      </c>
      <c r="B104" t="inlineStr">
        <is>
          <t>avverkningsanmälan</t>
        </is>
      </c>
      <c r="C104" t="inlineStr">
        <is>
          <t>Föryngringsavverkning</t>
        </is>
      </c>
      <c r="D104" s="1" t="n">
        <v>45531</v>
      </c>
      <c r="E104" s="1" t="n">
        <v>46261</v>
      </c>
      <c r="F104" t="inlineStr">
        <is>
          <t>ÖREBRO LÄN</t>
        </is>
      </c>
      <c r="G104" t="inlineStr">
        <is>
          <t>KARLSKOGA</t>
        </is>
      </c>
      <c r="I104" t="n">
        <v>0.5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23717-2025</t>
        </is>
      </c>
      <c r="B105" t="inlineStr">
        <is>
          <t>avverkningsanmälan</t>
        </is>
      </c>
      <c r="C105" t="inlineStr">
        <is>
          <t>Föryngringsavverkning</t>
        </is>
      </c>
      <c r="D105" s="1" t="n">
        <v>45793</v>
      </c>
      <c r="E105" s="1" t="n">
        <v>46261</v>
      </c>
      <c r="F105" t="inlineStr">
        <is>
          <t>ÖREBRO LÄN</t>
        </is>
      </c>
      <c r="G105" t="inlineStr">
        <is>
          <t>KARLSKOGA</t>
        </is>
      </c>
      <c r="I105" t="n">
        <v>2.1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60503-2025</t>
        </is>
      </c>
      <c r="B106" t="inlineStr">
        <is>
          <t>avverkningsanmälan</t>
        </is>
      </c>
      <c r="C106" t="inlineStr">
        <is>
          <t>Föryngringsavverkning</t>
        </is>
      </c>
      <c r="D106" s="1" t="n">
        <v>45995</v>
      </c>
      <c r="E106" s="1" t="n">
        <v>46261</v>
      </c>
      <c r="F106" t="inlineStr">
        <is>
          <t>ÖREBRO LÄN</t>
        </is>
      </c>
      <c r="G106" t="inlineStr">
        <is>
          <t>KARLSKOGA</t>
        </is>
      </c>
      <c r="I106" t="n">
        <v>2.2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60508-2025</t>
        </is>
      </c>
      <c r="B107" t="inlineStr">
        <is>
          <t>avverkningsanmälan</t>
        </is>
      </c>
      <c r="C107" t="inlineStr">
        <is>
          <t>Föryngringsavverkning</t>
        </is>
      </c>
      <c r="D107" s="1" t="n">
        <v>45995</v>
      </c>
      <c r="E107" s="1" t="n">
        <v>46261</v>
      </c>
      <c r="F107" t="inlineStr">
        <is>
          <t>ÖREBRO LÄN</t>
        </is>
      </c>
      <c r="G107" t="inlineStr">
        <is>
          <t>KARLSKOGA</t>
        </is>
      </c>
      <c r="I107" t="n">
        <v>2.1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60506-2025</t>
        </is>
      </c>
      <c r="B108" t="inlineStr">
        <is>
          <t>avverkningsanmälan</t>
        </is>
      </c>
      <c r="C108" t="inlineStr">
        <is>
          <t>Föryngringsavverkning</t>
        </is>
      </c>
      <c r="D108" s="1" t="n">
        <v>45995</v>
      </c>
      <c r="E108" s="1" t="n">
        <v>46261</v>
      </c>
      <c r="F108" t="inlineStr">
        <is>
          <t>ÖREBRO LÄN</t>
        </is>
      </c>
      <c r="G108" t="inlineStr">
        <is>
          <t>KARLSKOGA</t>
        </is>
      </c>
      <c r="I108" t="n">
        <v>0.8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917-2026</t>
        </is>
      </c>
      <c r="B109" t="inlineStr">
        <is>
          <t>avverkningsanmälan</t>
        </is>
      </c>
      <c r="C109" t="inlineStr">
        <is>
          <t>Föryngringsavverkning</t>
        </is>
      </c>
      <c r="D109" s="1" t="n">
        <v>46030</v>
      </c>
      <c r="E109" s="1" t="n">
        <v>46261</v>
      </c>
      <c r="F109" t="inlineStr">
        <is>
          <t>ÖREBRO LÄN</t>
        </is>
      </c>
      <c r="G109" t="inlineStr">
        <is>
          <t>KARLSKOGA</t>
        </is>
      </c>
      <c r="I109" t="n">
        <v>3.7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58390-2024</t>
        </is>
      </c>
      <c r="B110" t="inlineStr">
        <is>
          <t>avverkningsanmälan</t>
        </is>
      </c>
      <c r="C110" t="inlineStr">
        <is>
          <t>Föryngringsavverkning</t>
        </is>
      </c>
      <c r="D110" s="1" t="n">
        <v>45633</v>
      </c>
      <c r="E110" s="1" t="n">
        <v>46261</v>
      </c>
      <c r="F110" t="inlineStr">
        <is>
          <t>ÖREBRO LÄN</t>
        </is>
      </c>
      <c r="G110" t="inlineStr">
        <is>
          <t>KARLSKOGA</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61788-2025</t>
        </is>
      </c>
      <c r="B111" t="inlineStr">
        <is>
          <t>avverkningsanmälan</t>
        </is>
      </c>
      <c r="C111" t="inlineStr">
        <is>
          <t>Föryngringsavverkning</t>
        </is>
      </c>
      <c r="D111" s="1" t="n">
        <v>46002</v>
      </c>
      <c r="E111" s="1" t="n">
        <v>46261</v>
      </c>
      <c r="F111" t="inlineStr">
        <is>
          <t>ÖREBRO LÄN</t>
        </is>
      </c>
      <c r="G111" t="inlineStr">
        <is>
          <t>KARLSKOGA</t>
        </is>
      </c>
      <c r="H111" t="inlineStr">
        <is>
          <t>Kyrkan</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20909-2026</t>
        </is>
      </c>
      <c r="B112" t="inlineStr">
        <is>
          <t>avverkningsanmälan</t>
        </is>
      </c>
      <c r="C112" t="inlineStr">
        <is>
          <t>Föryngringsavverkning</t>
        </is>
      </c>
      <c r="D112" s="1" t="n">
        <v>46142</v>
      </c>
      <c r="E112" s="1" t="n">
        <v>46261</v>
      </c>
      <c r="F112" t="inlineStr">
        <is>
          <t>ÖREBRO LÄN</t>
        </is>
      </c>
      <c r="G112" t="inlineStr">
        <is>
          <t>KARLSKOGA</t>
        </is>
      </c>
      <c r="H112" t="inlineStr">
        <is>
          <t>Övriga Aktiebolag</t>
        </is>
      </c>
      <c r="I112" t="n">
        <v>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21253-2026</t>
        </is>
      </c>
      <c r="B113" t="inlineStr">
        <is>
          <t>avverkningsanmälan</t>
        </is>
      </c>
      <c r="C113" t="inlineStr">
        <is>
          <t>Föryngringsavverkning</t>
        </is>
      </c>
      <c r="D113" s="1" t="n">
        <v>46147</v>
      </c>
      <c r="E113" s="1" t="n">
        <v>46261</v>
      </c>
      <c r="F113" t="inlineStr">
        <is>
          <t>ÖREBRO LÄN</t>
        </is>
      </c>
      <c r="G113" t="inlineStr">
        <is>
          <t>KARLSKOGA</t>
        </is>
      </c>
      <c r="I113" t="n">
        <v>3.4</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18768-2025</t>
        </is>
      </c>
      <c r="B114" t="inlineStr">
        <is>
          <t>avverkningsanmälan</t>
        </is>
      </c>
      <c r="C114" t="inlineStr">
        <is>
          <t>Föryngringsavverkning</t>
        </is>
      </c>
      <c r="D114" s="1" t="n">
        <v>45764</v>
      </c>
      <c r="E114" s="1" t="n">
        <v>46261</v>
      </c>
      <c r="F114" t="inlineStr">
        <is>
          <t>ÖREBRO LÄN</t>
        </is>
      </c>
      <c r="G114" t="inlineStr">
        <is>
          <t>KARLSKOGA</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42803-2023</t>
        </is>
      </c>
      <c r="B115" t="inlineStr">
        <is>
          <t>avverkningsanmälan</t>
        </is>
      </c>
      <c r="C115" t="inlineStr">
        <is>
          <t>Avverkning för att bevara och utveckla /försöksver</t>
        </is>
      </c>
      <c r="D115" s="1" t="n">
        <v>45182</v>
      </c>
      <c r="E115" s="1" t="n">
        <v>46261</v>
      </c>
      <c r="F115" t="inlineStr">
        <is>
          <t>ÖREBRO LÄN</t>
        </is>
      </c>
      <c r="G115" t="inlineStr">
        <is>
          <t>KARLSKOGA</t>
        </is>
      </c>
      <c r="H115" t="inlineStr">
        <is>
          <t>Sveaskog</t>
        </is>
      </c>
      <c r="I115" t="n">
        <v>0.7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21257-2026</t>
        </is>
      </c>
      <c r="B116" t="inlineStr">
        <is>
          <t>avverkningsanmälan</t>
        </is>
      </c>
      <c r="C116" t="inlineStr">
        <is>
          <t>Föryngringsavverkning</t>
        </is>
      </c>
      <c r="D116" s="1" t="n">
        <v>46147</v>
      </c>
      <c r="E116" s="1" t="n">
        <v>46261</v>
      </c>
      <c r="F116" t="inlineStr">
        <is>
          <t>ÖREBRO LÄN</t>
        </is>
      </c>
      <c r="G116" t="inlineStr">
        <is>
          <t>KARLSKOGA</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3227-2025</t>
        </is>
      </c>
      <c r="B117" t="inlineStr">
        <is>
          <t>avverkningsanmälan</t>
        </is>
      </c>
      <c r="C117" t="inlineStr">
        <is>
          <t>Föryngringsavverkning</t>
        </is>
      </c>
      <c r="D117" s="1" t="n">
        <v>45679</v>
      </c>
      <c r="E117" s="1" t="n">
        <v>46261</v>
      </c>
      <c r="F117" t="inlineStr">
        <is>
          <t>ÖREBRO LÄN</t>
        </is>
      </c>
      <c r="G117" t="inlineStr">
        <is>
          <t>KARLSKOGA</t>
        </is>
      </c>
      <c r="I117" t="n">
        <v>4.5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20086-2024</t>
        </is>
      </c>
      <c r="B118" t="inlineStr">
        <is>
          <t>avverkningsanmälan</t>
        </is>
      </c>
      <c r="C118" t="inlineStr">
        <is>
          <t>Avverkning för annat ändamål</t>
        </is>
      </c>
      <c r="D118" s="1" t="n">
        <v>45434</v>
      </c>
      <c r="E118" s="1" t="n">
        <v>46261</v>
      </c>
      <c r="F118" t="inlineStr">
        <is>
          <t>ÖREBRO LÄN</t>
        </is>
      </c>
      <c r="G118" t="inlineStr">
        <is>
          <t>KARLSKOGA</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9510-2023</t>
        </is>
      </c>
      <c r="B119" t="inlineStr">
        <is>
          <t>avverkningsanmälan</t>
        </is>
      </c>
      <c r="C119" t="inlineStr">
        <is>
          <t>Föryngringsavverkning</t>
        </is>
      </c>
      <c r="D119" s="1" t="n">
        <v>44981</v>
      </c>
      <c r="E119" s="1" t="n">
        <v>46261</v>
      </c>
      <c r="F119" t="inlineStr">
        <is>
          <t>ÖREBRO LÄN</t>
        </is>
      </c>
      <c r="G119" t="inlineStr">
        <is>
          <t>KARLSKOGA</t>
        </is>
      </c>
      <c r="I119" t="n">
        <v>1.9</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23754-2026</t>
        </is>
      </c>
      <c r="B120" t="inlineStr">
        <is>
          <t>avverkningsanmälan</t>
        </is>
      </c>
      <c r="C120" t="inlineStr">
        <is>
          <t>Föryngringsavverkning</t>
        </is>
      </c>
      <c r="D120" s="1" t="n">
        <v>46164</v>
      </c>
      <c r="E120" s="1" t="n">
        <v>46261</v>
      </c>
      <c r="F120" t="inlineStr">
        <is>
          <t>ÖREBRO LÄN</t>
        </is>
      </c>
      <c r="G120" t="inlineStr">
        <is>
          <t>KARLSKOGA</t>
        </is>
      </c>
      <c r="H120" t="inlineStr">
        <is>
          <t>Sveaskog</t>
        </is>
      </c>
      <c r="I120" t="n">
        <v>12.2</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4587-2025</t>
        </is>
      </c>
      <c r="B121" t="inlineStr">
        <is>
          <t>avverkningsanmälan</t>
        </is>
      </c>
      <c r="C121" t="inlineStr">
        <is>
          <t>Föryngringsavverkning</t>
        </is>
      </c>
      <c r="D121" s="1" t="n">
        <v>45687</v>
      </c>
      <c r="E121" s="1" t="n">
        <v>46261</v>
      </c>
      <c r="F121" t="inlineStr">
        <is>
          <t>ÖREBRO LÄN</t>
        </is>
      </c>
      <c r="G121" t="inlineStr">
        <is>
          <t>KARLSKOGA</t>
        </is>
      </c>
      <c r="I121" t="n">
        <v>3.3</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4587-2025</t>
        </is>
      </c>
      <c r="B122" t="inlineStr">
        <is>
          <t>avverkningsanmälan</t>
        </is>
      </c>
      <c r="C122" t="inlineStr">
        <is>
          <t>Föryngringsavverkning</t>
        </is>
      </c>
      <c r="D122" s="1" t="n">
        <v>45687</v>
      </c>
      <c r="E122" s="1" t="n">
        <v>46261</v>
      </c>
      <c r="F122" t="inlineStr">
        <is>
          <t>ÖREBRO LÄN</t>
        </is>
      </c>
      <c r="G122" t="inlineStr">
        <is>
          <t>KARLSKOGA</t>
        </is>
      </c>
      <c r="I122" t="n">
        <v>3.3</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59025-2024</t>
        </is>
      </c>
      <c r="B123" t="inlineStr">
        <is>
          <t>avverkningsanmälan</t>
        </is>
      </c>
      <c r="C123" t="inlineStr">
        <is>
          <t>Föryngringsavverkning</t>
        </is>
      </c>
      <c r="D123" s="1" t="n">
        <v>45636</v>
      </c>
      <c r="E123" s="1" t="n">
        <v>46261</v>
      </c>
      <c r="F123" t="inlineStr">
        <is>
          <t>ÖREBRO LÄN</t>
        </is>
      </c>
      <c r="G123" t="inlineStr">
        <is>
          <t>KARLSKOGA</t>
        </is>
      </c>
      <c r="H123" t="inlineStr">
        <is>
          <t>Kyrkan</t>
        </is>
      </c>
      <c r="I123" t="n">
        <v>0.7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24666-2026</t>
        </is>
      </c>
      <c r="B124" t="inlineStr">
        <is>
          <t>avverkningsanmälan</t>
        </is>
      </c>
      <c r="C124" t="inlineStr">
        <is>
          <t>Föryngringsavverkning</t>
        </is>
      </c>
      <c r="D124" s="1" t="n">
        <v>46171</v>
      </c>
      <c r="E124" s="1" t="n">
        <v>46261</v>
      </c>
      <c r="F124" t="inlineStr">
        <is>
          <t>ÖREBRO LÄN</t>
        </is>
      </c>
      <c r="G124" t="inlineStr">
        <is>
          <t>KARLSKOGA</t>
        </is>
      </c>
      <c r="I124" t="n">
        <v>6.1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25098-2026</t>
        </is>
      </c>
      <c r="B125" t="inlineStr">
        <is>
          <t>avverkningsanmälan</t>
        </is>
      </c>
      <c r="C125" t="inlineStr">
        <is>
          <t>Avverkning för att bevara och utveckla /försöksver</t>
        </is>
      </c>
      <c r="D125" s="1" t="n">
        <v>46175</v>
      </c>
      <c r="E125" s="1" t="n">
        <v>46261</v>
      </c>
      <c r="F125" t="inlineStr">
        <is>
          <t>ÖREBRO LÄN</t>
        </is>
      </c>
      <c r="G125" t="inlineStr">
        <is>
          <t>KARLSKOGA</t>
        </is>
      </c>
      <c r="H125" t="inlineStr">
        <is>
          <t>Sveaskog</t>
        </is>
      </c>
      <c r="I125" t="n">
        <v>1.4</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25092-2026</t>
        </is>
      </c>
      <c r="B126" t="inlineStr">
        <is>
          <t>avverkningsanmälan</t>
        </is>
      </c>
      <c r="C126" t="inlineStr">
        <is>
          <t>Föryngringsavverkning</t>
        </is>
      </c>
      <c r="D126" s="1" t="n">
        <v>46175</v>
      </c>
      <c r="E126" s="1" t="n">
        <v>46261</v>
      </c>
      <c r="F126" t="inlineStr">
        <is>
          <t>ÖREBRO LÄN</t>
        </is>
      </c>
      <c r="G126" t="inlineStr">
        <is>
          <t>KARLSKOGA</t>
        </is>
      </c>
      <c r="H126" t="inlineStr">
        <is>
          <t>Sveaskog</t>
        </is>
      </c>
      <c r="I126" t="n">
        <v>1.9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13501-2025</t>
        </is>
      </c>
      <c r="B127" t="inlineStr">
        <is>
          <t>avverkningsanmälan</t>
        </is>
      </c>
      <c r="C127" t="inlineStr">
        <is>
          <t>Föryngringsavverkning</t>
        </is>
      </c>
      <c r="D127" s="1" t="n">
        <v>45736</v>
      </c>
      <c r="E127" s="1" t="n">
        <v>46261</v>
      </c>
      <c r="F127" t="inlineStr">
        <is>
          <t>ÖREBRO LÄN</t>
        </is>
      </c>
      <c r="G127" t="inlineStr">
        <is>
          <t>KARLSKOGA</t>
        </is>
      </c>
      <c r="I127" t="n">
        <v>3.2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47094-2023</t>
        </is>
      </c>
      <c r="B128" t="inlineStr">
        <is>
          <t>avverkningsanmälan</t>
        </is>
      </c>
      <c r="C128" t="inlineStr">
        <is>
          <t>Föryngringsavverkning</t>
        </is>
      </c>
      <c r="D128" s="1" t="n">
        <v>45196</v>
      </c>
      <c r="E128" s="1" t="n">
        <v>46261</v>
      </c>
      <c r="F128" t="inlineStr">
        <is>
          <t>ÖREBRO LÄN</t>
        </is>
      </c>
      <c r="G128" t="inlineStr">
        <is>
          <t>KARLSKOGA</t>
        </is>
      </c>
      <c r="I128" t="n">
        <v>1.9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31921-2022</t>
        </is>
      </c>
      <c r="B129" t="inlineStr">
        <is>
          <t>avverkningsanmälan</t>
        </is>
      </c>
      <c r="C129" t="inlineStr">
        <is>
          <t>Föryngringsavverkning</t>
        </is>
      </c>
      <c r="D129" s="1" t="n">
        <v>44777</v>
      </c>
      <c r="E129" s="1" t="n">
        <v>46261</v>
      </c>
      <c r="F129" t="inlineStr">
        <is>
          <t>ÖREBRO LÄN</t>
        </is>
      </c>
      <c r="G129" t="inlineStr">
        <is>
          <t>KARLSKOGA</t>
        </is>
      </c>
      <c r="I129" t="n">
        <v>2.4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42804-2023</t>
        </is>
      </c>
      <c r="B130" t="inlineStr">
        <is>
          <t>avverkningsanmälan</t>
        </is>
      </c>
      <c r="C130" t="inlineStr">
        <is>
          <t>Avverkning för att bevara och utveckla /försöksver</t>
        </is>
      </c>
      <c r="D130" s="1" t="n">
        <v>45182</v>
      </c>
      <c r="E130" s="1" t="n">
        <v>46261</v>
      </c>
      <c r="F130" t="inlineStr">
        <is>
          <t>ÖREBRO LÄN</t>
        </is>
      </c>
      <c r="G130" t="inlineStr">
        <is>
          <t>KARLSKOGA</t>
        </is>
      </c>
      <c r="H130" t="inlineStr">
        <is>
          <t>Sveaskog</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39030-2022</t>
        </is>
      </c>
      <c r="B131" t="inlineStr">
        <is>
          <t>avverkningsanmälan</t>
        </is>
      </c>
      <c r="C131" t="inlineStr">
        <is>
          <t>Föryngringsavverkning</t>
        </is>
      </c>
      <c r="D131" s="1" t="n">
        <v>44817</v>
      </c>
      <c r="E131" s="1" t="n">
        <v>46261</v>
      </c>
      <c r="F131" t="inlineStr">
        <is>
          <t>ÖREBRO LÄN</t>
        </is>
      </c>
      <c r="G131" t="inlineStr">
        <is>
          <t>KARLSKOGA</t>
        </is>
      </c>
      <c r="H131" t="inlineStr">
        <is>
          <t>Sveaskog</t>
        </is>
      </c>
      <c r="I131" t="n">
        <v>1</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8244-2025</t>
        </is>
      </c>
      <c r="B132" t="inlineStr">
        <is>
          <t>avverkningsanmälan</t>
        </is>
      </c>
      <c r="C132" t="inlineStr">
        <is>
          <t>Föryngringsavverkning</t>
        </is>
      </c>
      <c r="D132" s="1" t="n">
        <v>45708</v>
      </c>
      <c r="E132" s="1" t="n">
        <v>46261</v>
      </c>
      <c r="F132" t="inlineStr">
        <is>
          <t>ÖREBRO LÄN</t>
        </is>
      </c>
      <c r="G132" t="inlineStr">
        <is>
          <t>KARLSKOGA</t>
        </is>
      </c>
      <c r="I132" t="n">
        <v>1.1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28100-2024</t>
        </is>
      </c>
      <c r="B133" t="inlineStr">
        <is>
          <t>avverkningsanmälan</t>
        </is>
      </c>
      <c r="C133" t="inlineStr">
        <is>
          <t>Föryngringsavverkning</t>
        </is>
      </c>
      <c r="D133" s="1" t="n">
        <v>45476</v>
      </c>
      <c r="E133" s="1" t="n">
        <v>46261</v>
      </c>
      <c r="F133" t="inlineStr">
        <is>
          <t>ÖREBRO LÄN</t>
        </is>
      </c>
      <c r="G133" t="inlineStr">
        <is>
          <t>KARLSKOGA</t>
        </is>
      </c>
      <c r="I133" t="n">
        <v>1.8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51344-2023</t>
        </is>
      </c>
      <c r="B134" t="inlineStr">
        <is>
          <t>avverkningsanmälan</t>
        </is>
      </c>
      <c r="C134" t="inlineStr">
        <is>
          <t>Föryngringsavverkning</t>
        </is>
      </c>
      <c r="D134" s="1" t="n">
        <v>45219</v>
      </c>
      <c r="E134" s="1" t="n">
        <v>46261</v>
      </c>
      <c r="F134" t="inlineStr">
        <is>
          <t>ÖREBRO LÄN</t>
        </is>
      </c>
      <c r="G134" t="inlineStr">
        <is>
          <t>KARLSKOGA</t>
        </is>
      </c>
      <c r="H134" t="inlineStr">
        <is>
          <t>Övriga Aktiebolag</t>
        </is>
      </c>
      <c r="I134" t="n">
        <v>4.5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26822-2026</t>
        </is>
      </c>
      <c r="B135" t="inlineStr">
        <is>
          <t>avverkningsanmälan</t>
        </is>
      </c>
      <c r="C135" t="inlineStr">
        <is>
          <t>Föryngringsavverkning</t>
        </is>
      </c>
      <c r="D135" s="1" t="n">
        <v>46185</v>
      </c>
      <c r="E135" s="1" t="n">
        <v>46261</v>
      </c>
      <c r="F135" t="inlineStr">
        <is>
          <t>ÖREBRO LÄN</t>
        </is>
      </c>
      <c r="G135" t="inlineStr">
        <is>
          <t>KARLSKOGA</t>
        </is>
      </c>
      <c r="H135" t="inlineStr">
        <is>
          <t>Sveaskog</t>
        </is>
      </c>
      <c r="I135" t="n">
        <v>2.2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26819-2026</t>
        </is>
      </c>
      <c r="B136" t="inlineStr">
        <is>
          <t>avverkningsanmälan</t>
        </is>
      </c>
      <c r="C136" t="inlineStr">
        <is>
          <t>Föryngringsavverkning</t>
        </is>
      </c>
      <c r="D136" s="1" t="n">
        <v>46185</v>
      </c>
      <c r="E136" s="1" t="n">
        <v>46261</v>
      </c>
      <c r="F136" t="inlineStr">
        <is>
          <t>ÖREBRO LÄN</t>
        </is>
      </c>
      <c r="G136" t="inlineStr">
        <is>
          <t>KARLSKOGA</t>
        </is>
      </c>
      <c r="H136" t="inlineStr">
        <is>
          <t>Sveaskog</t>
        </is>
      </c>
      <c r="I136" t="n">
        <v>2.4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3239-2026</t>
        </is>
      </c>
      <c r="B137" t="inlineStr">
        <is>
          <t>avverkningsanmälan</t>
        </is>
      </c>
      <c r="C137" t="inlineStr">
        <is>
          <t>Föryngringsavverkning</t>
        </is>
      </c>
      <c r="D137" s="1" t="n">
        <v>46041</v>
      </c>
      <c r="E137" s="1" t="n">
        <v>46261</v>
      </c>
      <c r="F137" t="inlineStr">
        <is>
          <t>ÖREBRO LÄN</t>
        </is>
      </c>
      <c r="G137" t="inlineStr">
        <is>
          <t>KARLSKOGA</t>
        </is>
      </c>
      <c r="I137" t="n">
        <v>1.6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26821-2026</t>
        </is>
      </c>
      <c r="B138" t="inlineStr">
        <is>
          <t>avverkningsanmälan</t>
        </is>
      </c>
      <c r="C138" t="inlineStr">
        <is>
          <t>Föryngringsavverkning</t>
        </is>
      </c>
      <c r="D138" s="1" t="n">
        <v>46185</v>
      </c>
      <c r="E138" s="1" t="n">
        <v>46261</v>
      </c>
      <c r="F138" t="inlineStr">
        <is>
          <t>ÖREBRO LÄN</t>
        </is>
      </c>
      <c r="G138" t="inlineStr">
        <is>
          <t>KARLSKOGA</t>
        </is>
      </c>
      <c r="H138" t="inlineStr">
        <is>
          <t>Sveaskog</t>
        </is>
      </c>
      <c r="I138" t="n">
        <v>7.9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26820-2026</t>
        </is>
      </c>
      <c r="B139" t="inlineStr">
        <is>
          <t>avverkningsanmälan</t>
        </is>
      </c>
      <c r="C139" t="inlineStr">
        <is>
          <t>Föryngringsavverkning</t>
        </is>
      </c>
      <c r="D139" s="1" t="n">
        <v>46185</v>
      </c>
      <c r="E139" s="1" t="n">
        <v>46261</v>
      </c>
      <c r="F139" t="inlineStr">
        <is>
          <t>ÖREBRO LÄN</t>
        </is>
      </c>
      <c r="G139" t="inlineStr">
        <is>
          <t>KARLSKOGA</t>
        </is>
      </c>
      <c r="H139" t="inlineStr">
        <is>
          <t>Sveaskog</t>
        </is>
      </c>
      <c r="I139" t="n">
        <v>9.9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26608-2026</t>
        </is>
      </c>
      <c r="B140" t="inlineStr">
        <is>
          <t>avverkningsanmälan</t>
        </is>
      </c>
      <c r="C140" t="inlineStr">
        <is>
          <t>Föryngringsavverkning</t>
        </is>
      </c>
      <c r="D140" s="1" t="n">
        <v>46184</v>
      </c>
      <c r="E140" s="1" t="n">
        <v>46261</v>
      </c>
      <c r="F140" t="inlineStr">
        <is>
          <t>ÖREBRO LÄN</t>
        </is>
      </c>
      <c r="G140" t="inlineStr">
        <is>
          <t>KARLSKOGA</t>
        </is>
      </c>
      <c r="H140" t="inlineStr">
        <is>
          <t>Sveaskog</t>
        </is>
      </c>
      <c r="I140" t="n">
        <v>1.6</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26824-2026</t>
        </is>
      </c>
      <c r="B141" t="inlineStr">
        <is>
          <t>avverkningsanmälan</t>
        </is>
      </c>
      <c r="C141" t="inlineStr">
        <is>
          <t>Föryngringsavverkning</t>
        </is>
      </c>
      <c r="D141" s="1" t="n">
        <v>46185</v>
      </c>
      <c r="E141" s="1" t="n">
        <v>46261</v>
      </c>
      <c r="F141" t="inlineStr">
        <is>
          <t>ÖREBRO LÄN</t>
        </is>
      </c>
      <c r="G141" t="inlineStr">
        <is>
          <t>KARLSKOGA</t>
        </is>
      </c>
      <c r="H141" t="inlineStr">
        <is>
          <t>Sveaskog</t>
        </is>
      </c>
      <c r="I141" t="n">
        <v>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26825-2026</t>
        </is>
      </c>
      <c r="B142" t="inlineStr">
        <is>
          <t>avverkningsanmälan</t>
        </is>
      </c>
      <c r="C142" t="inlineStr">
        <is>
          <t>Föryngringsavverkning</t>
        </is>
      </c>
      <c r="D142" s="1" t="n">
        <v>46185</v>
      </c>
      <c r="E142" s="1" t="n">
        <v>46261</v>
      </c>
      <c r="F142" t="inlineStr">
        <is>
          <t>ÖREBRO LÄN</t>
        </is>
      </c>
      <c r="G142" t="inlineStr">
        <is>
          <t>KARLSKOGA</t>
        </is>
      </c>
      <c r="H142" t="inlineStr">
        <is>
          <t>Sveaskog</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27392-2026</t>
        </is>
      </c>
      <c r="B143" t="inlineStr">
        <is>
          <t>avverkningsanmälan</t>
        </is>
      </c>
      <c r="C143" t="inlineStr">
        <is>
          <t>Föryngringsavverkning</t>
        </is>
      </c>
      <c r="D143" s="1" t="n">
        <v>46189</v>
      </c>
      <c r="E143" s="1" t="n">
        <v>46261</v>
      </c>
      <c r="F143" t="inlineStr">
        <is>
          <t>ÖREBRO LÄN</t>
        </is>
      </c>
      <c r="G143" t="inlineStr">
        <is>
          <t>KARLSKOGA</t>
        </is>
      </c>
      <c r="H143" t="inlineStr">
        <is>
          <t>Sveaskog</t>
        </is>
      </c>
      <c r="I143" t="n">
        <v>2.8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27120-2026</t>
        </is>
      </c>
      <c r="B144" t="inlineStr">
        <is>
          <t>avverkningsanmälan</t>
        </is>
      </c>
      <c r="C144" t="inlineStr">
        <is>
          <t>Föryngringsavverkning</t>
        </is>
      </c>
      <c r="D144" s="1" t="n">
        <v>46188</v>
      </c>
      <c r="E144" s="1" t="n">
        <v>46261</v>
      </c>
      <c r="F144" t="inlineStr">
        <is>
          <t>ÖREBRO LÄN</t>
        </is>
      </c>
      <c r="G144" t="inlineStr">
        <is>
          <t>KARLSKOGA</t>
        </is>
      </c>
      <c r="I144" t="n">
        <v>4.7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20463-2025</t>
        </is>
      </c>
      <c r="B145" t="inlineStr">
        <is>
          <t>avverkningsanmälan</t>
        </is>
      </c>
      <c r="C145" t="inlineStr">
        <is>
          <t>Föryngringsavverkning</t>
        </is>
      </c>
      <c r="D145" s="1" t="n">
        <v>45775</v>
      </c>
      <c r="E145" s="1" t="n">
        <v>46261</v>
      </c>
      <c r="F145" t="inlineStr">
        <is>
          <t>ÖREBRO LÄN</t>
        </is>
      </c>
      <c r="G145" t="inlineStr">
        <is>
          <t>KARLSKOGA</t>
        </is>
      </c>
      <c r="H145" t="inlineStr">
        <is>
          <t>Sveaskog</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28471-2023</t>
        </is>
      </c>
      <c r="B146" t="inlineStr">
        <is>
          <t>avverkningsanmälan</t>
        </is>
      </c>
      <c r="C146" t="inlineStr">
        <is>
          <t>Föryngringsavverkning</t>
        </is>
      </c>
      <c r="D146" s="1" t="n">
        <v>45103</v>
      </c>
      <c r="E146" s="1" t="n">
        <v>46261</v>
      </c>
      <c r="F146" t="inlineStr">
        <is>
          <t>ÖREBRO LÄN</t>
        </is>
      </c>
      <c r="G146" t="inlineStr">
        <is>
          <t>KARLSKOGA</t>
        </is>
      </c>
      <c r="I146" t="n">
        <v>1.7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16881-2023</t>
        </is>
      </c>
      <c r="B147" t="inlineStr">
        <is>
          <t>avverkningsanmälan</t>
        </is>
      </c>
      <c r="C147" t="inlineStr">
        <is>
          <t>Föryngringsavverkning</t>
        </is>
      </c>
      <c r="D147" s="1" t="n">
        <v>45033</v>
      </c>
      <c r="E147" s="1" t="n">
        <v>46261</v>
      </c>
      <c r="F147" t="inlineStr">
        <is>
          <t>ÖREBRO LÄN</t>
        </is>
      </c>
      <c r="G147" t="inlineStr">
        <is>
          <t>KARLSKOGA</t>
        </is>
      </c>
      <c r="H147" t="inlineStr">
        <is>
          <t>Kyrkan</t>
        </is>
      </c>
      <c r="I147" t="n">
        <v>2.3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61396-2023</t>
        </is>
      </c>
      <c r="B148" t="inlineStr">
        <is>
          <t>avverkningsanmälan</t>
        </is>
      </c>
      <c r="C148" t="inlineStr">
        <is>
          <t>Föryngringsavverkning</t>
        </is>
      </c>
      <c r="D148" s="1" t="n">
        <v>45264</v>
      </c>
      <c r="E148" s="1" t="n">
        <v>46261</v>
      </c>
      <c r="F148" t="inlineStr">
        <is>
          <t>ÖREBRO LÄN</t>
        </is>
      </c>
      <c r="G148" t="inlineStr">
        <is>
          <t>KARLSKOGA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4164-2022</t>
        </is>
      </c>
      <c r="B149" t="inlineStr">
        <is>
          <t>avverkningsanmälan</t>
        </is>
      </c>
      <c r="C149" t="inlineStr">
        <is>
          <t>Föryngringsavverkning</t>
        </is>
      </c>
      <c r="D149" s="1" t="n">
        <v>44588</v>
      </c>
      <c r="E149" s="1" t="n">
        <v>46261</v>
      </c>
      <c r="F149" t="inlineStr">
        <is>
          <t>ÖREBRO LÄN</t>
        </is>
      </c>
      <c r="G149" t="inlineStr">
        <is>
          <t>KARLSKOGA</t>
        </is>
      </c>
      <c r="H149" t="inlineStr">
        <is>
          <t>Kommuner</t>
        </is>
      </c>
      <c r="I149" t="n">
        <v>1.5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61271-2022</t>
        </is>
      </c>
      <c r="B150" t="inlineStr">
        <is>
          <t>avverkningsanmälan</t>
        </is>
      </c>
      <c r="C150" t="inlineStr">
        <is>
          <t>Föryngringsavverkning</t>
        </is>
      </c>
      <c r="D150" s="1" t="n">
        <v>44909</v>
      </c>
      <c r="E150" s="1" t="n">
        <v>46261</v>
      </c>
      <c r="F150" t="inlineStr">
        <is>
          <t>ÖREBRO LÄN</t>
        </is>
      </c>
      <c r="G150" t="inlineStr">
        <is>
          <t>KARLSKOGA</t>
        </is>
      </c>
      <c r="H150" t="inlineStr">
        <is>
          <t>Övriga Aktiebolag</t>
        </is>
      </c>
      <c r="I150" t="n">
        <v>14.1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57422-2021</t>
        </is>
      </c>
      <c r="B151" t="inlineStr">
        <is>
          <t>avverkningsanmälan</t>
        </is>
      </c>
      <c r="C151" t="inlineStr">
        <is>
          <t>Föryngringsavverkning</t>
        </is>
      </c>
      <c r="D151" s="1" t="n">
        <v>44483</v>
      </c>
      <c r="E151" s="1" t="n">
        <v>46261</v>
      </c>
      <c r="F151" t="inlineStr">
        <is>
          <t>ÖREBRO LÄN</t>
        </is>
      </c>
      <c r="G151" t="inlineStr">
        <is>
          <t>KARLSKOGA</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35060-2024</t>
        </is>
      </c>
      <c r="B152" t="inlineStr">
        <is>
          <t>avverkningsanmälan</t>
        </is>
      </c>
      <c r="C152" t="inlineStr">
        <is>
          <t>Föryngringsavverkning</t>
        </is>
      </c>
      <c r="D152" s="1" t="n">
        <v>45527</v>
      </c>
      <c r="E152" s="1" t="n">
        <v>46261</v>
      </c>
      <c r="F152" t="inlineStr">
        <is>
          <t>ÖREBRO LÄN</t>
        </is>
      </c>
      <c r="G152" t="inlineStr">
        <is>
          <t>KARLSKOGA</t>
        </is>
      </c>
      <c r="H152" t="inlineStr">
        <is>
          <t>Kyrkan</t>
        </is>
      </c>
      <c r="I152" t="n">
        <v>0.6</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64060-2023</t>
        </is>
      </c>
      <c r="B153" t="inlineStr">
        <is>
          <t>avverkningsanmälan</t>
        </is>
      </c>
      <c r="C153" t="inlineStr">
        <is>
          <t>Föryngringsavverkning</t>
        </is>
      </c>
      <c r="D153" s="1" t="n">
        <v>45279</v>
      </c>
      <c r="E153" s="1" t="n">
        <v>46261</v>
      </c>
      <c r="F153" t="inlineStr">
        <is>
          <t>ÖREBRO LÄN</t>
        </is>
      </c>
      <c r="G153" t="inlineStr">
        <is>
          <t>KARLSKOGA</t>
        </is>
      </c>
      <c r="I153" t="n">
        <v>1.9</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14215-2024</t>
        </is>
      </c>
      <c r="B154" t="inlineStr">
        <is>
          <t>avverkningsanmälan</t>
        </is>
      </c>
      <c r="C154" t="inlineStr">
        <is>
          <t>Föryngringsavverkning</t>
        </is>
      </c>
      <c r="D154" s="1" t="n">
        <v>45393</v>
      </c>
      <c r="E154" s="1" t="n">
        <v>46261</v>
      </c>
      <c r="F154" t="inlineStr">
        <is>
          <t>ÖREBRO LÄN</t>
        </is>
      </c>
      <c r="G154" t="inlineStr">
        <is>
          <t>KARLSKOGA</t>
        </is>
      </c>
      <c r="H154" t="inlineStr">
        <is>
          <t>Kommuner</t>
        </is>
      </c>
      <c r="I154" t="n">
        <v>4.2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24116-2024</t>
        </is>
      </c>
      <c r="B155" t="inlineStr">
        <is>
          <t>avverkningsanmälan</t>
        </is>
      </c>
      <c r="C155" t="inlineStr">
        <is>
          <t>Föryngringsavverkning</t>
        </is>
      </c>
      <c r="D155" s="1" t="n">
        <v>45456</v>
      </c>
      <c r="E155" s="1" t="n">
        <v>46261</v>
      </c>
      <c r="F155" t="inlineStr">
        <is>
          <t>ÖREBRO LÄN</t>
        </is>
      </c>
      <c r="G155" t="inlineStr">
        <is>
          <t>KARLSKOGA</t>
        </is>
      </c>
      <c r="I155" t="n">
        <v>1.8</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55832-2023</t>
        </is>
      </c>
      <c r="B156" t="inlineStr">
        <is>
          <t>avverkningsanmälan</t>
        </is>
      </c>
      <c r="C156" t="inlineStr">
        <is>
          <t>Föryngringsavverkning</t>
        </is>
      </c>
      <c r="D156" s="1" t="n">
        <v>45239</v>
      </c>
      <c r="E156" s="1" t="n">
        <v>46261</v>
      </c>
      <c r="F156" t="inlineStr">
        <is>
          <t>ÖREBRO LÄN</t>
        </is>
      </c>
      <c r="G156" t="inlineStr">
        <is>
          <t>KARLSKOGA</t>
        </is>
      </c>
      <c r="I156" t="n">
        <v>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31378-2026</t>
        </is>
      </c>
      <c r="B157" t="inlineStr">
        <is>
          <t>avverkningsanmälan</t>
        </is>
      </c>
      <c r="C157" t="inlineStr">
        <is>
          <t>Föryngringsavverkning</t>
        </is>
      </c>
      <c r="D157" s="1" t="n">
        <v>46213</v>
      </c>
      <c r="E157" s="1" t="n">
        <v>46261</v>
      </c>
      <c r="F157" t="inlineStr">
        <is>
          <t>ÖREBRO LÄN</t>
        </is>
      </c>
      <c r="G157" t="inlineStr">
        <is>
          <t>KARLSKOGA</t>
        </is>
      </c>
      <c r="I157" t="n">
        <v>3.7</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10515-2023</t>
        </is>
      </c>
      <c r="B158" t="inlineStr">
        <is>
          <t>avverkningsanmälan</t>
        </is>
      </c>
      <c r="C158" t="inlineStr">
        <is>
          <t>Föryngringsavverkning</t>
        </is>
      </c>
      <c r="D158" s="1" t="n">
        <v>44987</v>
      </c>
      <c r="E158" s="1" t="n">
        <v>46261</v>
      </c>
      <c r="F158" t="inlineStr">
        <is>
          <t>ÖREBRO LÄN</t>
        </is>
      </c>
      <c r="G158" t="inlineStr">
        <is>
          <t>KARLSKOGA</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35094-2026</t>
        </is>
      </c>
      <c r="B159" t="inlineStr">
        <is>
          <t>avverkningsanmälan</t>
        </is>
      </c>
      <c r="C159" t="inlineStr">
        <is>
          <t>Föryngringsavverkning</t>
        </is>
      </c>
      <c r="D159" s="1" t="n">
        <v>46260</v>
      </c>
      <c r="E159" s="1" t="n">
        <v>46261</v>
      </c>
      <c r="F159" t="inlineStr">
        <is>
          <t>ÖREBRO LÄN</t>
        </is>
      </c>
      <c r="G159" t="inlineStr">
        <is>
          <t>KARLSKOGA</t>
        </is>
      </c>
      <c r="H159" t="inlineStr">
        <is>
          <t>Kyrkan</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33011-2023</t>
        </is>
      </c>
      <c r="B160" t="inlineStr">
        <is>
          <t>avverkningsanmälan</t>
        </is>
      </c>
      <c r="C160" t="inlineStr">
        <is>
          <t>Föryngringsavverkning</t>
        </is>
      </c>
      <c r="D160" s="1" t="n">
        <v>45125</v>
      </c>
      <c r="E160" s="1" t="n">
        <v>46261</v>
      </c>
      <c r="F160" t="inlineStr">
        <is>
          <t>ÖREBRO LÄN</t>
        </is>
      </c>
      <c r="G160" t="inlineStr">
        <is>
          <t>KARLSKOGA</t>
        </is>
      </c>
      <c r="I160" t="n">
        <v>0.8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48168-2024</t>
        </is>
      </c>
      <c r="B161" t="inlineStr">
        <is>
          <t>avverkningsanmälan</t>
        </is>
      </c>
      <c r="C161" t="inlineStr">
        <is>
          <t>Föryngringsavverkning</t>
        </is>
      </c>
      <c r="D161" s="1" t="n">
        <v>45589</v>
      </c>
      <c r="E161" s="1" t="n">
        <v>46261</v>
      </c>
      <c r="F161" t="inlineStr">
        <is>
          <t>ÖREBRO LÄN</t>
        </is>
      </c>
      <c r="G161" t="inlineStr">
        <is>
          <t>KARLSKOGA</t>
        </is>
      </c>
      <c r="I161" t="n">
        <v>5.5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13454-2022</t>
        </is>
      </c>
      <c r="B162" t="inlineStr">
        <is>
          <t>avverkningsanmälan</t>
        </is>
      </c>
      <c r="C162" t="inlineStr">
        <is>
          <t>Föryngringsavverkning</t>
        </is>
      </c>
      <c r="D162" s="1" t="n">
        <v>44645</v>
      </c>
      <c r="E162" s="1" t="n">
        <v>46261</v>
      </c>
      <c r="F162" t="inlineStr">
        <is>
          <t>ÖREBRO LÄN</t>
        </is>
      </c>
      <c r="G162" t="inlineStr">
        <is>
          <t>KARLSKOGA</t>
        </is>
      </c>
      <c r="I162" t="n">
        <v>1.7</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10743-2023</t>
        </is>
      </c>
      <c r="B163" t="inlineStr">
        <is>
          <t>avverkningsanmälan</t>
        </is>
      </c>
      <c r="C163" t="inlineStr">
        <is>
          <t>Föryngringsavverkning</t>
        </is>
      </c>
      <c r="D163" s="1" t="n">
        <v>44988</v>
      </c>
      <c r="E163" s="1" t="n">
        <v>46261</v>
      </c>
      <c r="F163" t="inlineStr">
        <is>
          <t>ÖREBRO LÄN</t>
        </is>
      </c>
      <c r="G163" t="inlineStr">
        <is>
          <t>KARLSKOGA</t>
        </is>
      </c>
      <c r="H163" t="inlineStr">
        <is>
          <t>Kyrkan</t>
        </is>
      </c>
      <c r="I163" t="n">
        <v>2.4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50611-2024</t>
        </is>
      </c>
      <c r="B164" t="inlineStr">
        <is>
          <t>avverkningsanmälan</t>
        </is>
      </c>
      <c r="C164" t="inlineStr">
        <is>
          <t>Föryngringsavverkning</t>
        </is>
      </c>
      <c r="D164" s="1" t="n">
        <v>45601</v>
      </c>
      <c r="E164" s="1" t="n">
        <v>46261</v>
      </c>
      <c r="F164" t="inlineStr">
        <is>
          <t>ÖREBRO LÄN</t>
        </is>
      </c>
      <c r="G164" t="inlineStr">
        <is>
          <t>KARLSKOGA</t>
        </is>
      </c>
      <c r="I164" t="n">
        <v>1</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42802-2023</t>
        </is>
      </c>
      <c r="B165" t="inlineStr">
        <is>
          <t>avverkningsanmälan</t>
        </is>
      </c>
      <c r="C165" t="inlineStr">
        <is>
          <t>Avverkning för att bevara och utveckla /försöksver</t>
        </is>
      </c>
      <c r="D165" s="1" t="n">
        <v>45182</v>
      </c>
      <c r="E165" s="1" t="n">
        <v>46261</v>
      </c>
      <c r="F165" t="inlineStr">
        <is>
          <t>ÖREBRO LÄN</t>
        </is>
      </c>
      <c r="G165" t="inlineStr">
        <is>
          <t>KARLSKOGA</t>
        </is>
      </c>
      <c r="H165" t="inlineStr">
        <is>
          <t>Sveaskog</t>
        </is>
      </c>
      <c r="I165" t="n">
        <v>0.6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52829-2024</t>
        </is>
      </c>
      <c r="B166" t="inlineStr">
        <is>
          <t>avverkningsanmälan</t>
        </is>
      </c>
      <c r="C166" t="inlineStr">
        <is>
          <t>Föryngringsavverkning</t>
        </is>
      </c>
      <c r="D166" s="1" t="n">
        <v>45610</v>
      </c>
      <c r="E166" s="1" t="n">
        <v>46261</v>
      </c>
      <c r="F166" t="inlineStr">
        <is>
          <t>ÖREBRO LÄN</t>
        </is>
      </c>
      <c r="G166" t="inlineStr">
        <is>
          <t>KARLSKOGA</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56313-2024</t>
        </is>
      </c>
      <c r="B167" t="inlineStr">
        <is>
          <t>avverkningsanmälan</t>
        </is>
      </c>
      <c r="C167" t="inlineStr">
        <is>
          <t>Föryngringsavverkning</t>
        </is>
      </c>
      <c r="D167" s="1" t="n">
        <v>45624</v>
      </c>
      <c r="E167" s="1" t="n">
        <v>46261</v>
      </c>
      <c r="F167" t="inlineStr">
        <is>
          <t>ÖREBRO LÄN</t>
        </is>
      </c>
      <c r="G167" t="inlineStr">
        <is>
          <t>KARLSKOGA</t>
        </is>
      </c>
      <c r="H167" t="inlineStr">
        <is>
          <t>Kyrkan</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38382-2022</t>
        </is>
      </c>
      <c r="B168" t="inlineStr">
        <is>
          <t>avverkningsanmälan</t>
        </is>
      </c>
      <c r="C168" t="inlineStr">
        <is>
          <t>Föryngringsavverkning</t>
        </is>
      </c>
      <c r="D168" s="1" t="n">
        <v>44812</v>
      </c>
      <c r="E168" s="1" t="n">
        <v>46261</v>
      </c>
      <c r="F168" t="inlineStr">
        <is>
          <t>ÖREBRO LÄN</t>
        </is>
      </c>
      <c r="G168" t="inlineStr">
        <is>
          <t>KARLSKOGA</t>
        </is>
      </c>
      <c r="H168" t="inlineStr">
        <is>
          <t>Kyrkan</t>
        </is>
      </c>
      <c r="I168" t="n">
        <v>2.2</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24115-2024</t>
        </is>
      </c>
      <c r="B169" t="inlineStr">
        <is>
          <t>avverkningsanmälan</t>
        </is>
      </c>
      <c r="C169" t="inlineStr">
        <is>
          <t>Föryngringsavverkning</t>
        </is>
      </c>
      <c r="D169" s="1" t="n">
        <v>45456</v>
      </c>
      <c r="E169" s="1" t="n">
        <v>46261</v>
      </c>
      <c r="F169" t="inlineStr">
        <is>
          <t>ÖREBRO LÄN</t>
        </is>
      </c>
      <c r="G169" t="inlineStr">
        <is>
          <t>KARLSKOGA</t>
        </is>
      </c>
      <c r="I169" t="n">
        <v>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10404-2022</t>
        </is>
      </c>
      <c r="B170" t="inlineStr">
        <is>
          <t>avverkningsanmälan</t>
        </is>
      </c>
      <c r="C170" t="inlineStr">
        <is>
          <t>Föryngringsavverkning</t>
        </is>
      </c>
      <c r="D170" s="1" t="n">
        <v>44623</v>
      </c>
      <c r="E170" s="1" t="n">
        <v>46261</v>
      </c>
      <c r="F170" t="inlineStr">
        <is>
          <t>ÖREBRO LÄN</t>
        </is>
      </c>
      <c r="G170" t="inlineStr">
        <is>
          <t>KARLSKOGA</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18955-2025</t>
        </is>
      </c>
      <c r="B171" t="inlineStr">
        <is>
          <t>avverkningsanmälan</t>
        </is>
      </c>
      <c r="C171" t="inlineStr">
        <is>
          <t>Föryngringsavverkning</t>
        </is>
      </c>
      <c r="D171" s="1" t="n">
        <v>45764</v>
      </c>
      <c r="E171" s="1" t="n">
        <v>46261</v>
      </c>
      <c r="F171" t="inlineStr">
        <is>
          <t>ÖREBRO LÄN</t>
        </is>
      </c>
      <c r="G171" t="inlineStr">
        <is>
          <t>KARLSKOGA</t>
        </is>
      </c>
      <c r="I171" t="n">
        <v>8.1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22867-2022</t>
        </is>
      </c>
      <c r="B172" t="inlineStr">
        <is>
          <t>avverkningsanmälan</t>
        </is>
      </c>
      <c r="C172" t="inlineStr">
        <is>
          <t>Föryngringsavverkning</t>
        </is>
      </c>
      <c r="D172" s="1" t="n">
        <v>44715</v>
      </c>
      <c r="E172" s="1" t="n">
        <v>46261</v>
      </c>
      <c r="F172" t="inlineStr">
        <is>
          <t>ÖREBRO LÄN</t>
        </is>
      </c>
      <c r="G172" t="inlineStr">
        <is>
          <t>KARLSKOGA</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18978-2025</t>
        </is>
      </c>
      <c r="B173" t="inlineStr">
        <is>
          <t>avverkningsanmälan</t>
        </is>
      </c>
      <c r="C173" t="inlineStr">
        <is>
          <t>Föryngringsavverkning</t>
        </is>
      </c>
      <c r="D173" s="1" t="n">
        <v>45764</v>
      </c>
      <c r="E173" s="1" t="n">
        <v>46261</v>
      </c>
      <c r="F173" t="inlineStr">
        <is>
          <t>ÖREBRO LÄN</t>
        </is>
      </c>
      <c r="G173" t="inlineStr">
        <is>
          <t>KARLSKOGA</t>
        </is>
      </c>
      <c r="I173" t="n">
        <v>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4801-2024</t>
        </is>
      </c>
      <c r="B174" t="inlineStr">
        <is>
          <t>avverkningsanmälan</t>
        </is>
      </c>
      <c r="C174" t="inlineStr">
        <is>
          <t>Föryngringsavverkning</t>
        </is>
      </c>
      <c r="D174" s="1" t="n">
        <v>45328</v>
      </c>
      <c r="E174" s="1" t="n">
        <v>46261</v>
      </c>
      <c r="F174" t="inlineStr">
        <is>
          <t>ÖREBRO LÄN</t>
        </is>
      </c>
      <c r="G174" t="inlineStr">
        <is>
          <t>KARLSKOGA</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4802-2024</t>
        </is>
      </c>
      <c r="B175" t="inlineStr">
        <is>
          <t>avverkningsanmälan</t>
        </is>
      </c>
      <c r="C175" t="inlineStr">
        <is>
          <t>Föryngringsavverkning</t>
        </is>
      </c>
      <c r="D175" s="1" t="n">
        <v>45328</v>
      </c>
      <c r="E175" s="1" t="n">
        <v>46261</v>
      </c>
      <c r="F175" t="inlineStr">
        <is>
          <t>ÖREBRO LÄN</t>
        </is>
      </c>
      <c r="G175" t="inlineStr">
        <is>
          <t>KARLSKOGA</t>
        </is>
      </c>
      <c r="I175" t="n">
        <v>0.9</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30961-2022</t>
        </is>
      </c>
      <c r="B176" t="inlineStr">
        <is>
          <t>avverkningsanmälan</t>
        </is>
      </c>
      <c r="C176" t="inlineStr">
        <is>
          <t>Föryngringsavverkning</t>
        </is>
      </c>
      <c r="D176" s="1" t="n">
        <v>44768</v>
      </c>
      <c r="E176" s="1" t="n">
        <v>46261</v>
      </c>
      <c r="F176" t="inlineStr">
        <is>
          <t>ÖREBRO LÄN</t>
        </is>
      </c>
      <c r="G176" t="inlineStr">
        <is>
          <t>KARLSKOGA</t>
        </is>
      </c>
      <c r="H176" t="inlineStr">
        <is>
          <t>Kommuner</t>
        </is>
      </c>
      <c r="I176" t="n">
        <v>3.3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55191-2023</t>
        </is>
      </c>
      <c r="B177" t="inlineStr">
        <is>
          <t>avverkningsanmälan</t>
        </is>
      </c>
      <c r="C177" t="inlineStr">
        <is>
          <t>Föryngringsavverkning</t>
        </is>
      </c>
      <c r="D177" s="1" t="n">
        <v>45237</v>
      </c>
      <c r="E177" s="1" t="n">
        <v>46261</v>
      </c>
      <c r="F177" t="inlineStr">
        <is>
          <t>ÖREBRO LÄN</t>
        </is>
      </c>
      <c r="G177" t="inlineStr">
        <is>
          <t>KARLSKOGA</t>
        </is>
      </c>
      <c r="I177" t="n">
        <v>1.9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13496-2025</t>
        </is>
      </c>
      <c r="B178" t="inlineStr">
        <is>
          <t>avverkningsanmälan</t>
        </is>
      </c>
      <c r="C178" t="inlineStr">
        <is>
          <t>Föryngringsavverkning</t>
        </is>
      </c>
      <c r="D178" s="1" t="n">
        <v>45736</v>
      </c>
      <c r="E178" s="1" t="n">
        <v>46261</v>
      </c>
      <c r="F178" t="inlineStr">
        <is>
          <t>ÖREBRO LÄN</t>
        </is>
      </c>
      <c r="G178" t="inlineStr">
        <is>
          <t>KARLSKOGA</t>
        </is>
      </c>
      <c r="I178" t="n">
        <v>8.800000000000001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11974-2025</t>
        </is>
      </c>
      <c r="B179" t="inlineStr">
        <is>
          <t>avverkningsanmälan</t>
        </is>
      </c>
      <c r="C179" t="inlineStr">
        <is>
          <t>Föryngringsavverkning</t>
        </is>
      </c>
      <c r="D179" s="1" t="n">
        <v>45728</v>
      </c>
      <c r="E179" s="1" t="n">
        <v>46261</v>
      </c>
      <c r="F179" t="inlineStr">
        <is>
          <t>ÖREBRO LÄN</t>
        </is>
      </c>
      <c r="G179" t="inlineStr">
        <is>
          <t>KARLSKOGA</t>
        </is>
      </c>
      <c r="I179" t="n">
        <v>1.4</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63863-2023</t>
        </is>
      </c>
      <c r="B180" t="inlineStr">
        <is>
          <t>avverkningsanmälan</t>
        </is>
      </c>
      <c r="C180" t="inlineStr">
        <is>
          <t>Föryngringsavverkning</t>
        </is>
      </c>
      <c r="D180" s="1" t="n">
        <v>45278</v>
      </c>
      <c r="E180" s="1" t="n">
        <v>46261</v>
      </c>
      <c r="F180" t="inlineStr">
        <is>
          <t>ÖREBRO LÄN</t>
        </is>
      </c>
      <c r="G180" t="inlineStr">
        <is>
          <t>KARLSKOGA</t>
        </is>
      </c>
      <c r="I180" t="n">
        <v>1.1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1309-2024</t>
        </is>
      </c>
      <c r="B181" t="inlineStr">
        <is>
          <t>avverkningsanmälan</t>
        </is>
      </c>
      <c r="C181" t="inlineStr">
        <is>
          <t>Föryngringsavverkning</t>
        </is>
      </c>
      <c r="D181" s="1" t="n">
        <v>45303</v>
      </c>
      <c r="E181" s="1" t="n">
        <v>46261</v>
      </c>
      <c r="F181" t="inlineStr">
        <is>
          <t>ÖREBRO LÄN</t>
        </is>
      </c>
      <c r="G181" t="inlineStr">
        <is>
          <t>KARLSKOGA</t>
        </is>
      </c>
      <c r="I181" t="n">
        <v>4</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52826-2024</t>
        </is>
      </c>
      <c r="B182" t="inlineStr">
        <is>
          <t>avverkningsanmälan</t>
        </is>
      </c>
      <c r="C182" t="inlineStr">
        <is>
          <t>Föryngringsavverkning</t>
        </is>
      </c>
      <c r="D182" s="1" t="n">
        <v>45610</v>
      </c>
      <c r="E182" s="1" t="n">
        <v>46261</v>
      </c>
      <c r="F182" t="inlineStr">
        <is>
          <t>ÖREBRO LÄN</t>
        </is>
      </c>
      <c r="G182" t="inlineStr">
        <is>
          <t>KARLSKOGA</t>
        </is>
      </c>
      <c r="I182" t="n">
        <v>2.2</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1106-2024</t>
        </is>
      </c>
      <c r="B183" t="inlineStr">
        <is>
          <t>avverkningsanmälan</t>
        </is>
      </c>
      <c r="C183" t="inlineStr">
        <is>
          <t>Föryngringsavverkning</t>
        </is>
      </c>
      <c r="D183" s="1" t="n">
        <v>45302</v>
      </c>
      <c r="E183" s="1" t="n">
        <v>46261</v>
      </c>
      <c r="F183" t="inlineStr">
        <is>
          <t>ÖREBRO LÄN</t>
        </is>
      </c>
      <c r="G183" t="inlineStr">
        <is>
          <t>KARLSKOGA</t>
        </is>
      </c>
      <c r="I183" t="n">
        <v>1.9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48707-2024</t>
        </is>
      </c>
      <c r="B184" t="inlineStr">
        <is>
          <t>avverkningsanmälan</t>
        </is>
      </c>
      <c r="C184" t="inlineStr">
        <is>
          <t>Föryngringsavverkning</t>
        </is>
      </c>
      <c r="D184" s="1" t="n">
        <v>45593</v>
      </c>
      <c r="E184" s="1" t="n">
        <v>46261</v>
      </c>
      <c r="F184" t="inlineStr">
        <is>
          <t>ÖREBRO LÄN</t>
        </is>
      </c>
      <c r="G184" t="inlineStr">
        <is>
          <t>KARLSKOGA</t>
        </is>
      </c>
      <c r="I184" t="n">
        <v>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35470-2024</t>
        </is>
      </c>
      <c r="B185" t="inlineStr">
        <is>
          <t>avverkningsanmälan</t>
        </is>
      </c>
      <c r="C185" t="inlineStr">
        <is>
          <t>Föryngringsavverkning</t>
        </is>
      </c>
      <c r="D185" s="1" t="n">
        <v>45531</v>
      </c>
      <c r="E185" s="1" t="n">
        <v>46261</v>
      </c>
      <c r="F185" t="inlineStr">
        <is>
          <t>ÖREBRO LÄN</t>
        </is>
      </c>
      <c r="G185" t="inlineStr">
        <is>
          <t>KARLSKOGA</t>
        </is>
      </c>
      <c r="I185" t="n">
        <v>0.5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8990-2023</t>
        </is>
      </c>
      <c r="B186" t="inlineStr">
        <is>
          <t>avverkningsanmälan</t>
        </is>
      </c>
      <c r="C186" t="inlineStr">
        <is>
          <t>Föryngringsavverkning</t>
        </is>
      </c>
      <c r="D186" s="1" t="n">
        <v>44979</v>
      </c>
      <c r="E186" s="1" t="n">
        <v>46261</v>
      </c>
      <c r="F186" t="inlineStr">
        <is>
          <t>ÖREBRO LÄN</t>
        </is>
      </c>
      <c r="G186" t="inlineStr">
        <is>
          <t>KARLSKOGA</t>
        </is>
      </c>
      <c r="I186" t="n">
        <v>2.1</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50614-2024</t>
        </is>
      </c>
      <c r="B187" t="inlineStr">
        <is>
          <t>avverkningsanmälan</t>
        </is>
      </c>
      <c r="C187" t="inlineStr">
        <is>
          <t>Föryngringsavverkning</t>
        </is>
      </c>
      <c r="D187" s="1" t="n">
        <v>45601</v>
      </c>
      <c r="E187" s="1" t="n">
        <v>46261</v>
      </c>
      <c r="F187" t="inlineStr">
        <is>
          <t>ÖREBRO LÄN</t>
        </is>
      </c>
      <c r="G187" t="inlineStr">
        <is>
          <t>KARLSKOGA</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55182-2024</t>
        </is>
      </c>
      <c r="B188" t="inlineStr">
        <is>
          <t>avverkningsanmälan</t>
        </is>
      </c>
      <c r="C188" t="inlineStr">
        <is>
          <t>Föryngringsavverkning</t>
        </is>
      </c>
      <c r="D188" s="1" t="n">
        <v>45618</v>
      </c>
      <c r="E188" s="1" t="n">
        <v>46261</v>
      </c>
      <c r="F188" t="inlineStr">
        <is>
          <t>ÖREBRO LÄN</t>
        </is>
      </c>
      <c r="G188" t="inlineStr">
        <is>
          <t>KARLSKOGA</t>
        </is>
      </c>
      <c r="I188" t="n">
        <v>11.4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52797-2021</t>
        </is>
      </c>
      <c r="B189" t="inlineStr">
        <is>
          <t>avverkningsanmälan</t>
        </is>
      </c>
      <c r="C189" t="inlineStr">
        <is>
          <t>Föryngringsavverkning</t>
        </is>
      </c>
      <c r="D189" s="1" t="n">
        <v>44467</v>
      </c>
      <c r="E189" s="1" t="n">
        <v>46261</v>
      </c>
      <c r="F189" t="inlineStr">
        <is>
          <t>ÖREBRO LÄN</t>
        </is>
      </c>
      <c r="G189" t="inlineStr">
        <is>
          <t>KARLSKOGA</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8259-2025</t>
        </is>
      </c>
      <c r="B190" t="inlineStr">
        <is>
          <t>avverkningsanmälan</t>
        </is>
      </c>
      <c r="C190" t="inlineStr">
        <is>
          <t>Föryngringsavverkning</t>
        </is>
      </c>
      <c r="D190" s="1" t="n">
        <v>45708</v>
      </c>
      <c r="E190" s="1" t="n">
        <v>46261</v>
      </c>
      <c r="F190" t="inlineStr">
        <is>
          <t>ÖREBRO LÄN</t>
        </is>
      </c>
      <c r="G190" t="inlineStr">
        <is>
          <t>KARLSKOGA</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53620-2024</t>
        </is>
      </c>
      <c r="B191" t="inlineStr">
        <is>
          <t>avverkningsanmälan</t>
        </is>
      </c>
      <c r="C191" t="inlineStr">
        <is>
          <t>Föryngringsavverkning</t>
        </is>
      </c>
      <c r="D191" s="1" t="n">
        <v>45614</v>
      </c>
      <c r="E191" s="1" t="n">
        <v>46261</v>
      </c>
      <c r="F191" t="inlineStr">
        <is>
          <t>ÖREBRO LÄN</t>
        </is>
      </c>
      <c r="G191" t="inlineStr">
        <is>
          <t>KARLSKOGA</t>
        </is>
      </c>
      <c r="I191" t="n">
        <v>0.7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35930-2023</t>
        </is>
      </c>
      <c r="B192" t="inlineStr">
        <is>
          <t>avverkningsanmälan</t>
        </is>
      </c>
      <c r="C192" t="inlineStr">
        <is>
          <t>Föryngringsavverkning</t>
        </is>
      </c>
      <c r="D192" s="1" t="n">
        <v>45148</v>
      </c>
      <c r="E192" s="1" t="n">
        <v>46261</v>
      </c>
      <c r="F192" t="inlineStr">
        <is>
          <t>ÖREBRO LÄN</t>
        </is>
      </c>
      <c r="G192" t="inlineStr">
        <is>
          <t>KARLSKOGA</t>
        </is>
      </c>
      <c r="H192" t="inlineStr">
        <is>
          <t>Sveaskog</t>
        </is>
      </c>
      <c r="I192" t="n">
        <v>5.2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47196-2023</t>
        </is>
      </c>
      <c r="B193" t="inlineStr">
        <is>
          <t>avverkningsanmälan</t>
        </is>
      </c>
      <c r="C193" t="inlineStr">
        <is>
          <t>Föryngringsavverkning</t>
        </is>
      </c>
      <c r="D193" s="1" t="n">
        <v>45196</v>
      </c>
      <c r="E193" s="1" t="n">
        <v>46261</v>
      </c>
      <c r="F193" t="inlineStr">
        <is>
          <t>ÖREBRO LÄN</t>
        </is>
      </c>
      <c r="G193" t="inlineStr">
        <is>
          <t>KARLSKOGA</t>
        </is>
      </c>
      <c r="I193" t="n">
        <v>5.9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53618-2024</t>
        </is>
      </c>
      <c r="B194" t="inlineStr">
        <is>
          <t>avverkningsanmälan</t>
        </is>
      </c>
      <c r="C194" t="inlineStr">
        <is>
          <t>Föryngringsavverkning</t>
        </is>
      </c>
      <c r="D194" s="1" t="n">
        <v>45614</v>
      </c>
      <c r="E194" s="1" t="n">
        <v>46261</v>
      </c>
      <c r="F194" t="inlineStr">
        <is>
          <t>ÖREBRO LÄN</t>
        </is>
      </c>
      <c r="G194" t="inlineStr">
        <is>
          <t>KARLSKOGA</t>
        </is>
      </c>
      <c r="I194" t="n">
        <v>10.1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58388-2024</t>
        </is>
      </c>
      <c r="B195" t="inlineStr">
        <is>
          <t>avverkningsanmälan</t>
        </is>
      </c>
      <c r="C195" t="inlineStr">
        <is>
          <t>Föryngringsavverkning</t>
        </is>
      </c>
      <c r="D195" s="1" t="n">
        <v>45633</v>
      </c>
      <c r="E195" s="1" t="n">
        <v>46261</v>
      </c>
      <c r="F195" t="inlineStr">
        <is>
          <t>ÖREBRO LÄN</t>
        </is>
      </c>
      <c r="G195" t="inlineStr">
        <is>
          <t>KARLSKOGA</t>
        </is>
      </c>
      <c r="I195" t="n">
        <v>5.8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47201-2023</t>
        </is>
      </c>
      <c r="B196" t="inlineStr">
        <is>
          <t>avverkningsanmälan</t>
        </is>
      </c>
      <c r="C196" t="inlineStr">
        <is>
          <t>Föryngringsavverkning</t>
        </is>
      </c>
      <c r="D196" s="1" t="n">
        <v>45196</v>
      </c>
      <c r="E196" s="1" t="n">
        <v>46261</v>
      </c>
      <c r="F196" t="inlineStr">
        <is>
          <t>ÖREBRO LÄN</t>
        </is>
      </c>
      <c r="G196" t="inlineStr">
        <is>
          <t>KARLSKOGA</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52828-2024</t>
        </is>
      </c>
      <c r="B197" t="inlineStr">
        <is>
          <t>avverkningsanmälan</t>
        </is>
      </c>
      <c r="C197" t="inlineStr">
        <is>
          <t>Föryngringsavverkning</t>
        </is>
      </c>
      <c r="D197" s="1" t="n">
        <v>45610</v>
      </c>
      <c r="E197" s="1" t="n">
        <v>46261</v>
      </c>
      <c r="F197" t="inlineStr">
        <is>
          <t>ÖREBRO LÄN</t>
        </is>
      </c>
      <c r="G197" t="inlineStr">
        <is>
          <t>KARLSKOGA</t>
        </is>
      </c>
      <c r="I197" t="n">
        <v>8.300000000000001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17243-2024</t>
        </is>
      </c>
      <c r="B198" t="inlineStr">
        <is>
          <t>avverkningsanmälan</t>
        </is>
      </c>
      <c r="C198" t="inlineStr">
        <is>
          <t>Föryngringsavverkning</t>
        </is>
      </c>
      <c r="D198" s="1" t="n">
        <v>45414</v>
      </c>
      <c r="E198" s="1" t="n">
        <v>46261</v>
      </c>
      <c r="F198" t="inlineStr">
        <is>
          <t>ÖREBRO LÄN</t>
        </is>
      </c>
      <c r="G198" t="inlineStr">
        <is>
          <t>KARLSKOGA</t>
        </is>
      </c>
      <c r="I198" t="n">
        <v>3.2</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59938-2023</t>
        </is>
      </c>
      <c r="B199" t="inlineStr">
        <is>
          <t>avverkningsanmälan</t>
        </is>
      </c>
      <c r="C199" t="inlineStr">
        <is>
          <t>Föryngringsavverkning</t>
        </is>
      </c>
      <c r="D199" s="1" t="n">
        <v>45257</v>
      </c>
      <c r="E199" s="1" t="n">
        <v>46261</v>
      </c>
      <c r="F199" t="inlineStr">
        <is>
          <t>ÖREBRO LÄN</t>
        </is>
      </c>
      <c r="G199" t="inlineStr">
        <is>
          <t>KARLSKOGA</t>
        </is>
      </c>
      <c r="I199" t="n">
        <v>2.9</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22244-2025</t>
        </is>
      </c>
      <c r="B200" t="inlineStr">
        <is>
          <t>avverkningsanmälan</t>
        </is>
      </c>
      <c r="C200" t="inlineStr">
        <is>
          <t>Föryngringsavverkning</t>
        </is>
      </c>
      <c r="D200" s="1" t="n">
        <v>45785</v>
      </c>
      <c r="E200" s="1" t="n">
        <v>46261</v>
      </c>
      <c r="F200" t="inlineStr">
        <is>
          <t>ÖREBRO LÄN</t>
        </is>
      </c>
      <c r="G200" t="inlineStr">
        <is>
          <t>KARLSKOGA</t>
        </is>
      </c>
      <c r="I200" t="n">
        <v>0.9</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38742-2023</t>
        </is>
      </c>
      <c r="B201" t="inlineStr">
        <is>
          <t>avverkningsanmälan</t>
        </is>
      </c>
      <c r="C201" t="inlineStr">
        <is>
          <t>Avverkning för annat ändamål</t>
        </is>
      </c>
      <c r="D201" s="1" t="n">
        <v>45161</v>
      </c>
      <c r="E201" s="1" t="n">
        <v>46261</v>
      </c>
      <c r="F201" t="inlineStr">
        <is>
          <t>ÖREBRO LÄN</t>
        </is>
      </c>
      <c r="G201" t="inlineStr">
        <is>
          <t>KARLSKOGA</t>
        </is>
      </c>
      <c r="H201" t="inlineStr">
        <is>
          <t>Övriga Aktiebolag</t>
        </is>
      </c>
      <c r="I201" t="n">
        <v>4.2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3735-2024</t>
        </is>
      </c>
      <c r="B202" t="inlineStr">
        <is>
          <t>avverkningsanmälan</t>
        </is>
      </c>
      <c r="C202" t="inlineStr">
        <is>
          <t>Föryngringsavverkning</t>
        </is>
      </c>
      <c r="D202" s="1" t="n">
        <v>45321</v>
      </c>
      <c r="E202" s="1" t="n">
        <v>46261</v>
      </c>
      <c r="F202" t="inlineStr">
        <is>
          <t>ÖREBRO LÄN</t>
        </is>
      </c>
      <c r="G202" t="inlineStr">
        <is>
          <t>KARLSKOGA</t>
        </is>
      </c>
      <c r="H202" t="inlineStr">
        <is>
          <t>Övriga Aktiebolag</t>
        </is>
      </c>
      <c r="I202" t="n">
        <v>1.6</v>
      </c>
      <c r="J202" t="n">
        <v>0</v>
      </c>
      <c r="K202" t="n">
        <v>0</v>
      </c>
      <c r="L202" t="n">
        <v>0</v>
      </c>
      <c r="M202" t="n">
        <v>0</v>
      </c>
      <c r="N202" t="n">
        <v>0</v>
      </c>
      <c r="O202" t="n">
        <v>0</v>
      </c>
      <c r="P202" t="n">
        <v>0</v>
      </c>
      <c r="Q202" t="n">
        <v>0</v>
      </c>
      <c r="R202" t="n">
        <v>0</v>
      </c>
      <c r="S202" t="n">
        <v>0</v>
      </c>
      <c r="T202" t="n">
        <v>0</v>
      </c>
      <c r="U202" t="n">
        <v>0</v>
      </c>
      <c r="V202" s="2" t="inlineStr"/>
    </row>
    <row r="203">
      <c r="A203" t="inlineStr">
        <is>
          <t>S 2960-2025</t>
        </is>
      </c>
      <c r="B203" t="inlineStr">
        <is>
          <t>samrådsanmälan</t>
        </is>
      </c>
      <c r="C203" t="inlineStr">
        <is>
          <t>Annan skogsbruksåtgärd</t>
        </is>
      </c>
      <c r="D203" s="1" t="n">
        <v>45953</v>
      </c>
      <c r="E203" s="1" t="n">
        <v>46261</v>
      </c>
      <c r="F203" t="inlineStr">
        <is>
          <t>ÖREBRO LÄN</t>
        </is>
      </c>
      <c r="G203" t="inlineStr">
        <is>
          <t>KARLSKOGA</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2026-08-27T01:53:45Z</dcterms:created>
  <dcterms:modified xmlns:dcterms="http://purl.org/dc/terms/" xmlns:xsi="http://www.w3.org/2001/XMLSchema-instance" xsi:type="dcterms:W3CDTF">2026-08-27T01:53:46Z</dcterms:modified>
</cp:coreProperties>
</file>