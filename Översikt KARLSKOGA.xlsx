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45709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45709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45709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45709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45709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45709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45709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39825-2020</t>
        </is>
      </c>
      <c r="B9" s="1" t="n">
        <v>44067</v>
      </c>
      <c r="C9" s="1" t="n">
        <v>45709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Pärluggla</t>
        </is>
      </c>
      <c r="S9">
        <f>HYPERLINK("https://klasma.github.io/Logging_1883/artfynd/A 39825-2020 artfynd.xlsx", "A 39825-2020")</f>
        <v/>
      </c>
      <c r="T9">
        <f>HYPERLINK("https://klasma.github.io/Logging_1883/kartor/A 39825-2020 karta.png", "A 39825-2020")</f>
        <v/>
      </c>
      <c r="V9">
        <f>HYPERLINK("https://klasma.github.io/Logging_1883/klagomål/A 39825-2020 FSC-klagomål.docx", "A 39825-2020")</f>
        <v/>
      </c>
      <c r="W9">
        <f>HYPERLINK("https://klasma.github.io/Logging_1883/klagomålsmail/A 39825-2020 FSC-klagomål mail.docx", "A 39825-2020")</f>
        <v/>
      </c>
      <c r="X9">
        <f>HYPERLINK("https://klasma.github.io/Logging_1883/tillsyn/A 39825-2020 tillsynsbegäran.docx", "A 39825-2020")</f>
        <v/>
      </c>
      <c r="Y9">
        <f>HYPERLINK("https://klasma.github.io/Logging_1883/tillsynsmail/A 39825-2020 tillsynsbegäran mail.docx", "A 39825-2020")</f>
        <v/>
      </c>
      <c r="Z9">
        <f>HYPERLINK("https://klasma.github.io/Logging_1883/fåglar/A 39825-2020 prioriterade fågelarter.docx", "A 39825-2020")</f>
        <v/>
      </c>
    </row>
    <row r="10" ht="15" customHeight="1">
      <c r="A10" t="inlineStr">
        <is>
          <t>A 44988-2020</t>
        </is>
      </c>
      <c r="B10" s="1" t="n">
        <v>44088</v>
      </c>
      <c r="C10" s="1" t="n">
        <v>45709</v>
      </c>
      <c r="D10" t="inlineStr">
        <is>
          <t>ÖREBRO LÄN</t>
        </is>
      </c>
      <c r="E10" t="inlineStr">
        <is>
          <t>KARLSKOGA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Långfibbla</t>
        </is>
      </c>
      <c r="S10">
        <f>HYPERLINK("https://klasma.github.io/Logging_1883/artfynd/A 44988-2020 artfynd.xlsx", "A 44988-2020")</f>
        <v/>
      </c>
      <c r="T10">
        <f>HYPERLINK("https://klasma.github.io/Logging_1883/kartor/A 44988-2020 karta.png", "A 44988-2020")</f>
        <v/>
      </c>
      <c r="V10">
        <f>HYPERLINK("https://klasma.github.io/Logging_1883/klagomål/A 44988-2020 FSC-klagomål.docx", "A 44988-2020")</f>
        <v/>
      </c>
      <c r="W10">
        <f>HYPERLINK("https://klasma.github.io/Logging_1883/klagomålsmail/A 44988-2020 FSC-klagomål mail.docx", "A 44988-2020")</f>
        <v/>
      </c>
      <c r="X10">
        <f>HYPERLINK("https://klasma.github.io/Logging_1883/tillsyn/A 44988-2020 tillsynsbegäran.docx", "A 44988-2020")</f>
        <v/>
      </c>
      <c r="Y10">
        <f>HYPERLINK("https://klasma.github.io/Logging_1883/tillsynsmail/A 44988-2020 tillsynsbegäran mail.docx", "A 44988-2020")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45709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45709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32269-2022</t>
        </is>
      </c>
      <c r="B13" s="1" t="n">
        <v>44781</v>
      </c>
      <c r="C13" s="1" t="n">
        <v>45709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Nordfladdermus</t>
        </is>
      </c>
      <c r="S13">
        <f>HYPERLINK("https://klasma.github.io/Logging_1883/artfynd/A 32269-2022 artfynd.xlsx", "A 32269-2022")</f>
        <v/>
      </c>
      <c r="T13">
        <f>HYPERLINK("https://klasma.github.io/Logging_1883/kartor/A 32269-2022 karta.png", "A 32269-2022")</f>
        <v/>
      </c>
      <c r="V13">
        <f>HYPERLINK("https://klasma.github.io/Logging_1883/klagomål/A 32269-2022 FSC-klagomål.docx", "A 32269-2022")</f>
        <v/>
      </c>
      <c r="W13">
        <f>HYPERLINK("https://klasma.github.io/Logging_1883/klagomålsmail/A 32269-2022 FSC-klagomål mail.docx", "A 32269-2022")</f>
        <v/>
      </c>
      <c r="X13">
        <f>HYPERLINK("https://klasma.github.io/Logging_1883/tillsyn/A 32269-2022 tillsynsbegäran.docx", "A 32269-2022")</f>
        <v/>
      </c>
      <c r="Y13">
        <f>HYPERLINK("https://klasma.github.io/Logging_1883/tillsynsmail/A 32269-2022 tillsynsbegäran mail.docx", "A 32269-2022")</f>
        <v/>
      </c>
    </row>
    <row r="14" ht="15" customHeight="1">
      <c r="A14" t="inlineStr">
        <is>
          <t>A 5814-2023</t>
        </is>
      </c>
      <c r="B14" s="1" t="n">
        <v>44963</v>
      </c>
      <c r="C14" s="1" t="n">
        <v>45709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HYPERLINK("https://klasma.github.io/Logging_1883/artfynd/A 5814-2023 artfynd.xlsx", "A 5814-2023")</f>
        <v/>
      </c>
      <c r="T14">
        <f>HYPERLINK("https://klasma.github.io/Logging_1883/kartor/A 5814-2023 karta.png", "A 5814-2023")</f>
        <v/>
      </c>
      <c r="V14">
        <f>HYPERLINK("https://klasma.github.io/Logging_1883/klagomål/A 5814-2023 FSC-klagomål.docx", "A 5814-2023")</f>
        <v/>
      </c>
      <c r="W14">
        <f>HYPERLINK("https://klasma.github.io/Logging_1883/klagomålsmail/A 5814-2023 FSC-klagomål mail.docx", "A 5814-2023")</f>
        <v/>
      </c>
      <c r="X14">
        <f>HYPERLINK("https://klasma.github.io/Logging_1883/tillsyn/A 5814-2023 tillsynsbegäran.docx", "A 5814-2023")</f>
        <v/>
      </c>
      <c r="Y14">
        <f>HYPERLINK("https://klasma.github.io/Logging_1883/tillsynsmail/A 5814-2023 tillsynsbegäran mail.docx", "A 5814-2023")</f>
        <v/>
      </c>
    </row>
    <row r="15" ht="15" customHeight="1">
      <c r="A15" t="inlineStr">
        <is>
          <t>A 53626-2023</t>
        </is>
      </c>
      <c r="B15" s="1" t="n">
        <v>45230</v>
      </c>
      <c r="C15" s="1" t="n">
        <v>45709</v>
      </c>
      <c r="D15" t="inlineStr">
        <is>
          <t>ÖREBRO LÄN</t>
        </is>
      </c>
      <c r="E15" t="inlineStr">
        <is>
          <t>KARLSKOGA</t>
        </is>
      </c>
      <c r="G15" t="n">
        <v>7.5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Storgröe</t>
        </is>
      </c>
      <c r="S15">
        <f>HYPERLINK("https://klasma.github.io/Logging_1883/artfynd/A 53626-2023 artfynd.xlsx", "A 53626-2023")</f>
        <v/>
      </c>
      <c r="T15">
        <f>HYPERLINK("https://klasma.github.io/Logging_1883/kartor/A 53626-2023 karta.png", "A 53626-2023")</f>
        <v/>
      </c>
      <c r="V15">
        <f>HYPERLINK("https://klasma.github.io/Logging_1883/klagomål/A 53626-2023 FSC-klagomål.docx", "A 53626-2023")</f>
        <v/>
      </c>
      <c r="W15">
        <f>HYPERLINK("https://klasma.github.io/Logging_1883/klagomålsmail/A 53626-2023 FSC-klagomål mail.docx", "A 53626-2023")</f>
        <v/>
      </c>
      <c r="X15">
        <f>HYPERLINK("https://klasma.github.io/Logging_1883/tillsyn/A 53626-2023 tillsynsbegäran.docx", "A 53626-2023")</f>
        <v/>
      </c>
      <c r="Y15">
        <f>HYPERLINK("https://klasma.github.io/Logging_1883/tillsynsmail/A 53626-2023 tillsynsbegäran mail.docx", "A 53626-2023")</f>
        <v/>
      </c>
    </row>
    <row r="16" ht="15" customHeight="1">
      <c r="A16" t="inlineStr">
        <is>
          <t>A 22752-2024</t>
        </is>
      </c>
      <c r="B16" s="1" t="n">
        <v>45448</v>
      </c>
      <c r="C16" s="1" t="n">
        <v>45709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HYPERLINK("https://klasma.github.io/Logging_1883/artfynd/A 22752-2024 artfynd.xlsx", "A 22752-2024")</f>
        <v/>
      </c>
      <c r="T16">
        <f>HYPERLINK("https://klasma.github.io/Logging_1883/kartor/A 22752-2024 karta.png", "A 22752-2024")</f>
        <v/>
      </c>
      <c r="V16">
        <f>HYPERLINK("https://klasma.github.io/Logging_1883/klagomål/A 22752-2024 FSC-klagomål.docx", "A 22752-2024")</f>
        <v/>
      </c>
      <c r="W16">
        <f>HYPERLINK("https://klasma.github.io/Logging_1883/klagomålsmail/A 22752-2024 FSC-klagomål mail.docx", "A 22752-2024")</f>
        <v/>
      </c>
      <c r="X16">
        <f>HYPERLINK("https://klasma.github.io/Logging_1883/tillsyn/A 22752-2024 tillsynsbegäran.docx", "A 22752-2024")</f>
        <v/>
      </c>
      <c r="Y16">
        <f>HYPERLINK("https://klasma.github.io/Logging_1883/tillsynsmail/A 22752-2024 tillsynsbegäran mail.docx", "A 22752-2024")</f>
        <v/>
      </c>
      <c r="Z16">
        <f>HYPERLINK("https://klasma.github.io/Logging_1883/fåglar/A 22752-2024 prioriterade fågelarter.docx", "A 22752-2024")</f>
        <v/>
      </c>
    </row>
    <row r="17" ht="15" customHeight="1">
      <c r="A17" t="inlineStr">
        <is>
          <t>A 24188-2024</t>
        </is>
      </c>
      <c r="B17" s="1" t="n">
        <v>45456</v>
      </c>
      <c r="C17" s="1" t="n">
        <v>45709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44769-2024</t>
        </is>
      </c>
      <c r="B18" s="1" t="n">
        <v>45574</v>
      </c>
      <c r="C18" s="1" t="n">
        <v>45709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Kricka</t>
        </is>
      </c>
      <c r="S18">
        <f>HYPERLINK("https://klasma.github.io/Logging_1883/artfynd/A 44769-2024 artfynd.xlsx", "A 44769-2024")</f>
        <v/>
      </c>
      <c r="T18">
        <f>HYPERLINK("https://klasma.github.io/Logging_1883/kartor/A 44769-2024 karta.png", "A 44769-2024")</f>
        <v/>
      </c>
      <c r="V18">
        <f>HYPERLINK("https://klasma.github.io/Logging_1883/klagomål/A 44769-2024 FSC-klagomål.docx", "A 44769-2024")</f>
        <v/>
      </c>
      <c r="W18">
        <f>HYPERLINK("https://klasma.github.io/Logging_1883/klagomålsmail/A 44769-2024 FSC-klagomål mail.docx", "A 44769-2024")</f>
        <v/>
      </c>
      <c r="X18">
        <f>HYPERLINK("https://klasma.github.io/Logging_1883/tillsyn/A 44769-2024 tillsynsbegäran.docx", "A 44769-2024")</f>
        <v/>
      </c>
      <c r="Y18">
        <f>HYPERLINK("https://klasma.github.io/Logging_1883/tillsynsmail/A 44769-2024 tillsynsbegäran mail.docx", "A 44769-2024")</f>
        <v/>
      </c>
      <c r="Z18">
        <f>HYPERLINK("https://klasma.github.io/Logging_1883/fåglar/A 44769-2024 prioriterade fågelarter.docx", "A 44769-2024")</f>
        <v/>
      </c>
    </row>
    <row r="19" ht="15" customHeight="1">
      <c r="A19" t="inlineStr">
        <is>
          <t>A 52451-2024</t>
        </is>
      </c>
      <c r="B19" s="1" t="n">
        <v>45609</v>
      </c>
      <c r="C19" s="1" t="n">
        <v>45709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Dofttråding</t>
        </is>
      </c>
      <c r="S19">
        <f>HYPERLINK("https://klasma.github.io/Logging_1883/artfynd/A 52451-2024 artfynd.xlsx", "A 52451-2024")</f>
        <v/>
      </c>
      <c r="T19">
        <f>HYPERLINK("https://klasma.github.io/Logging_1883/kartor/A 52451-2024 karta.png", "A 52451-2024")</f>
        <v/>
      </c>
      <c r="V19">
        <f>HYPERLINK("https://klasma.github.io/Logging_1883/klagomål/A 52451-2024 FSC-klagomål.docx", "A 52451-2024")</f>
        <v/>
      </c>
      <c r="W19">
        <f>HYPERLINK("https://klasma.github.io/Logging_1883/klagomålsmail/A 52451-2024 FSC-klagomål mail.docx", "A 52451-2024")</f>
        <v/>
      </c>
      <c r="X19">
        <f>HYPERLINK("https://klasma.github.io/Logging_1883/tillsyn/A 52451-2024 tillsynsbegäran.docx", "A 52451-2024")</f>
        <v/>
      </c>
      <c r="Y19">
        <f>HYPERLINK("https://klasma.github.io/Logging_1883/tillsynsmail/A 52451-2024 tillsynsbegäran mail.docx", "A 52451-2024")</f>
        <v/>
      </c>
    </row>
    <row r="20" ht="15" customHeight="1">
      <c r="A20" t="inlineStr">
        <is>
          <t>A 368-2025</t>
        </is>
      </c>
      <c r="B20" s="1" t="n">
        <v>45661</v>
      </c>
      <c r="C20" s="1" t="n">
        <v>45709</v>
      </c>
      <c r="D20" t="inlineStr">
        <is>
          <t>ÖREBRO LÄN</t>
        </is>
      </c>
      <c r="E20" t="inlineStr">
        <is>
          <t>KARLSKOGA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HYPERLINK("https://klasma.github.io/Logging_1883/artfynd/A 368-2025 artfynd.xlsx", "A 368-2025")</f>
        <v/>
      </c>
      <c r="T20">
        <f>HYPERLINK("https://klasma.github.io/Logging_1883/kartor/A 368-2025 karta.png", "A 368-2025")</f>
        <v/>
      </c>
      <c r="V20">
        <f>HYPERLINK("https://klasma.github.io/Logging_1883/klagomål/A 368-2025 FSC-klagomål.docx", "A 368-2025")</f>
        <v/>
      </c>
      <c r="W20">
        <f>HYPERLINK("https://klasma.github.io/Logging_1883/klagomålsmail/A 368-2025 FSC-klagomål mail.docx", "A 368-2025")</f>
        <v/>
      </c>
      <c r="X20">
        <f>HYPERLINK("https://klasma.github.io/Logging_1883/tillsyn/A 368-2025 tillsynsbegäran.docx", "A 368-2025")</f>
        <v/>
      </c>
      <c r="Y20">
        <f>HYPERLINK("https://klasma.github.io/Logging_1883/tillsynsmail/A 368-2025 tillsynsbegäran mail.docx", "A 368-2025")</f>
        <v/>
      </c>
    </row>
    <row r="21" ht="15" customHeight="1">
      <c r="A21" t="inlineStr">
        <is>
          <t>A 18382-2019</t>
        </is>
      </c>
      <c r="B21" s="1" t="n">
        <v>43559</v>
      </c>
      <c r="C21" s="1" t="n">
        <v>45709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45709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45709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45709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45709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45709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45709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45709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45709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45709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45709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45709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45709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45709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45709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45709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45709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45709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45709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45709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45709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45709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45709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45709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45709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45709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45709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45709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45709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45709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45709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45709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45709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45709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45709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45709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45709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45709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45709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45709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45709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45709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45709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45709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45709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45709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45709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45709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45709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45709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45709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45709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45709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45709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45709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45709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45709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45709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45709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45709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45709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45709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45709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45709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45709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45709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45709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45709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45709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45709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45709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45709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45709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45709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45709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45709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45709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45709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45709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45709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45709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45709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45709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45709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45709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45709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45709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45709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45709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45709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45709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45709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45709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45709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45709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45709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45709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45709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45709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45709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45709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45709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45709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45709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45709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45709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45709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45709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45709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45709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45709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45709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45709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45709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45709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45709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45709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45709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45709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45709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45709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45709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45709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45709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45709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45709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45709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45709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45709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45709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45709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45709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45709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45709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45709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45709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45709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45709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45709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45709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45709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45709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45709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45709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45709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45709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45709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45709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45709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45709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45709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45709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45709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45709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45709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45709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45709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45709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45709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45709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45709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45709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45709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45709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45709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45709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45709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45709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45709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45709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45709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45709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45709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45709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45709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45709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45709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45709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45709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45709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45709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45709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45709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45709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45709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45709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45709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45709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45709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45709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45709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45709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45709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45709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45709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45709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45709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45709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45709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45709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45709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45709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45709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45709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45709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45709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45709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45709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45709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45709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45709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45709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45709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45709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45709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45709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45709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45709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45709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45709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45709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45709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45709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45709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45709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45709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45709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45709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45709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45709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45709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45709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45709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45709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45709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45709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45709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45709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45709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45709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45709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45709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45709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45709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45709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45709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45709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45709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45709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45709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45709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45709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45709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45709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45709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45709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45709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45709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45709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45709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45709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45709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45709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45709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45709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45709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45709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45709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45709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45709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45709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45709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45709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45709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45709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45709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45709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45709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45709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45709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45709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45709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45709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45709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45709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45709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45709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45709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45709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45709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45709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45709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45709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45709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45709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45709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45709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45709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45709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45709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45709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45709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45709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45709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45709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45709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45709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45709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45709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45709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45709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45709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45709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45709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45709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45709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45709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45709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45709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45709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45709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45709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45709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45709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45709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45709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45709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45709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45709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45709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45709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45709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45709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45709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45709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45709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45709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45709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45709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45709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45709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45709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45709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45709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45709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45709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45709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45709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45709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45709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45709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45709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45709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8259-2025</t>
        </is>
      </c>
      <c r="B374" s="1" t="n">
        <v>45708</v>
      </c>
      <c r="C374" s="1" t="n">
        <v>45709</v>
      </c>
      <c r="D374" t="inlineStr">
        <is>
          <t>ÖREBRO LÄN</t>
        </is>
      </c>
      <c r="E374" t="inlineStr">
        <is>
          <t>KARLSKOGA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8244-2025</t>
        </is>
      </c>
      <c r="B375" s="1" t="n">
        <v>45708</v>
      </c>
      <c r="C375" s="1" t="n">
        <v>45709</v>
      </c>
      <c r="D375" t="inlineStr">
        <is>
          <t>ÖREBRO LÄN</t>
        </is>
      </c>
      <c r="E375" t="inlineStr">
        <is>
          <t>KARLSKOGA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2025-02-21T16:57:35Z</dcterms:created>
  <dcterms:modified xmlns:dcterms="http://purl.org/dc/terms/" xmlns:xsi="http://www.w3.org/2001/XMLSchema-instance" xsi:type="dcterms:W3CDTF">2025-02-21T16:57:35Z</dcterms:modified>
</cp:coreProperties>
</file>