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45684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45684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45684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45684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45684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45684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45684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45684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45684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45684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45684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45684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45684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45684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24188-2024</t>
        </is>
      </c>
      <c r="B16" s="1" t="n">
        <v>45456</v>
      </c>
      <c r="C16" s="1" t="n">
        <v>45684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45684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Kricka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52451-2024</t>
        </is>
      </c>
      <c r="B18" s="1" t="n">
        <v>45609</v>
      </c>
      <c r="C18" s="1" t="n">
        <v>45684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Dofttråding</t>
        </is>
      </c>
      <c r="S18">
        <f>HYPERLINK("https://klasma.github.io/Logging_1883/artfynd/A 52451-2024 artfynd.xlsx", "A 52451-2024")</f>
        <v/>
      </c>
      <c r="T18">
        <f>HYPERLINK("https://klasma.github.io/Logging_1883/kartor/A 52451-2024 karta.png", "A 52451-2024")</f>
        <v/>
      </c>
      <c r="V18">
        <f>HYPERLINK("https://klasma.github.io/Logging_1883/klagomål/A 52451-2024 FSC-klagomål.docx", "A 52451-2024")</f>
        <v/>
      </c>
      <c r="W18">
        <f>HYPERLINK("https://klasma.github.io/Logging_1883/klagomålsmail/A 52451-2024 FSC-klagomål mail.docx", "A 52451-2024")</f>
        <v/>
      </c>
      <c r="X18">
        <f>HYPERLINK("https://klasma.github.io/Logging_1883/tillsyn/A 52451-2024 tillsynsbegäran.docx", "A 52451-2024")</f>
        <v/>
      </c>
      <c r="Y18">
        <f>HYPERLINK("https://klasma.github.io/Logging_1883/tillsynsmail/A 52451-2024 tillsynsbegäran mail.docx", "A 52451-2024")</f>
        <v/>
      </c>
    </row>
    <row r="19" ht="15" customHeight="1">
      <c r="A19" t="inlineStr">
        <is>
          <t>A 368-2025</t>
        </is>
      </c>
      <c r="B19" s="1" t="n">
        <v>45661</v>
      </c>
      <c r="C19" s="1" t="n">
        <v>45684</v>
      </c>
      <c r="D19" t="inlineStr">
        <is>
          <t>ÖREBRO LÄN</t>
        </is>
      </c>
      <c r="E19" t="inlineStr">
        <is>
          <t>KARLSKOGA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HYPERLINK("https://klasma.github.io/Logging_1883/artfynd/A 368-2025 artfynd.xlsx", "A 368-2025")</f>
        <v/>
      </c>
      <c r="T19">
        <f>HYPERLINK("https://klasma.github.io/Logging_1883/kartor/A 368-2025 karta.png", "A 368-2025")</f>
        <v/>
      </c>
      <c r="V19">
        <f>HYPERLINK("https://klasma.github.io/Logging_1883/klagomål/A 368-2025 FSC-klagomål.docx", "A 368-2025")</f>
        <v/>
      </c>
      <c r="W19">
        <f>HYPERLINK("https://klasma.github.io/Logging_1883/klagomålsmail/A 368-2025 FSC-klagomål mail.docx", "A 368-2025")</f>
        <v/>
      </c>
      <c r="X19">
        <f>HYPERLINK("https://klasma.github.io/Logging_1883/tillsyn/A 368-2025 tillsynsbegäran.docx", "A 368-2025")</f>
        <v/>
      </c>
      <c r="Y19">
        <f>HYPERLINK("https://klasma.github.io/Logging_1883/tillsynsmail/A 368-2025 tillsynsbegäran mail.docx", "A 368-2025")</f>
        <v/>
      </c>
    </row>
    <row r="20" ht="15" customHeight="1">
      <c r="A20" t="inlineStr">
        <is>
          <t>A 18382-2019</t>
        </is>
      </c>
      <c r="B20" s="1" t="n">
        <v>43559</v>
      </c>
      <c r="C20" s="1" t="n">
        <v>45684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18461-2019</t>
        </is>
      </c>
      <c r="B21" s="1" t="n">
        <v>43559</v>
      </c>
      <c r="C21" s="1" t="n">
        <v>45684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19723-2019</t>
        </is>
      </c>
      <c r="B22" s="1" t="n">
        <v>43566</v>
      </c>
      <c r="C22" s="1" t="n">
        <v>45684</v>
      </c>
      <c r="D22" t="inlineStr">
        <is>
          <t>ÖREBRO LÄN</t>
        </is>
      </c>
      <c r="E22" t="inlineStr">
        <is>
          <t>KARLSKOGA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20547-2019</t>
        </is>
      </c>
      <c r="B23" s="1" t="n">
        <v>43572</v>
      </c>
      <c r="C23" s="1" t="n">
        <v>45684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22760-2019</t>
        </is>
      </c>
      <c r="B24" s="1" t="n">
        <v>43587</v>
      </c>
      <c r="C24" s="1" t="n">
        <v>45684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24090-2019</t>
        </is>
      </c>
      <c r="B25" s="1" t="n">
        <v>43598</v>
      </c>
      <c r="C25" s="1" t="n">
        <v>45684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25077-2019</t>
        </is>
      </c>
      <c r="B26" s="1" t="n">
        <v>43601</v>
      </c>
      <c r="C26" s="1" t="n">
        <v>45684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25084-2019</t>
        </is>
      </c>
      <c r="B27" s="1" t="n">
        <v>43601</v>
      </c>
      <c r="C27" s="1" t="n">
        <v>45684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34518-2019</t>
        </is>
      </c>
      <c r="B28" s="1" t="n">
        <v>43647</v>
      </c>
      <c r="C28" s="1" t="n">
        <v>45684</v>
      </c>
      <c r="D28" t="inlineStr">
        <is>
          <t>ÖREBRO LÄN</t>
        </is>
      </c>
      <c r="E28" t="inlineStr">
        <is>
          <t>KARLSKOGA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34524-2019</t>
        </is>
      </c>
      <c r="B29" s="1" t="n">
        <v>43647</v>
      </c>
      <c r="C29" s="1" t="n">
        <v>45684</v>
      </c>
      <c r="D29" t="inlineStr">
        <is>
          <t>ÖREBRO LÄN</t>
        </is>
      </c>
      <c r="E29" t="inlineStr">
        <is>
          <t>KARLSKOGA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37112-2019</t>
        </is>
      </c>
      <c r="B30" s="1" t="n">
        <v>43676</v>
      </c>
      <c r="C30" s="1" t="n">
        <v>45684</v>
      </c>
      <c r="D30" t="inlineStr">
        <is>
          <t>ÖREBRO LÄN</t>
        </is>
      </c>
      <c r="E30" t="inlineStr">
        <is>
          <t>KARLSKOGA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37728-2019</t>
        </is>
      </c>
      <c r="B31" s="1" t="n">
        <v>43682</v>
      </c>
      <c r="C31" s="1" t="n">
        <v>45684</v>
      </c>
      <c r="D31" t="inlineStr">
        <is>
          <t>ÖREBRO LÄN</t>
        </is>
      </c>
      <c r="E31" t="inlineStr">
        <is>
          <t>KARLSKOGA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38669-2019</t>
        </is>
      </c>
      <c r="B32" s="1" t="n">
        <v>43686</v>
      </c>
      <c r="C32" s="1" t="n">
        <v>45684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39322-2019</t>
        </is>
      </c>
      <c r="B33" s="1" t="n">
        <v>43690</v>
      </c>
      <c r="C33" s="1" t="n">
        <v>45684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39468-2019</t>
        </is>
      </c>
      <c r="B34" s="1" t="n">
        <v>43691</v>
      </c>
      <c r="C34" s="1" t="n">
        <v>45684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39469-2019</t>
        </is>
      </c>
      <c r="B35" s="1" t="n">
        <v>43691</v>
      </c>
      <c r="C35" s="1" t="n">
        <v>45684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44836-2019</t>
        </is>
      </c>
      <c r="B36" s="1" t="n">
        <v>43712</v>
      </c>
      <c r="C36" s="1" t="n">
        <v>45684</v>
      </c>
      <c r="D36" t="inlineStr">
        <is>
          <t>ÖREBRO LÄN</t>
        </is>
      </c>
      <c r="E36" t="inlineStr">
        <is>
          <t>KARLSKOGA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54389-2019</t>
        </is>
      </c>
      <c r="B37" s="1" t="n">
        <v>43747</v>
      </c>
      <c r="C37" s="1" t="n">
        <v>45684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54398-2019</t>
        </is>
      </c>
      <c r="B38" s="1" t="n">
        <v>43754</v>
      </c>
      <c r="C38" s="1" t="n">
        <v>45684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54423-2019</t>
        </is>
      </c>
      <c r="B39" s="1" t="n">
        <v>43754</v>
      </c>
      <c r="C39" s="1" t="n">
        <v>45684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54421-2019</t>
        </is>
      </c>
      <c r="B40" s="1" t="n">
        <v>43754</v>
      </c>
      <c r="C40" s="1" t="n">
        <v>45684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54404-2019</t>
        </is>
      </c>
      <c r="B41" s="1" t="n">
        <v>43754</v>
      </c>
      <c r="C41" s="1" t="n">
        <v>45684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54409-2019</t>
        </is>
      </c>
      <c r="B42" s="1" t="n">
        <v>43754</v>
      </c>
      <c r="C42" s="1" t="n">
        <v>45684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54711-2019</t>
        </is>
      </c>
      <c r="B43" s="1" t="n">
        <v>43755</v>
      </c>
      <c r="C43" s="1" t="n">
        <v>45684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56698-2019</t>
        </is>
      </c>
      <c r="B44" s="1" t="n">
        <v>43763</v>
      </c>
      <c r="C44" s="1" t="n">
        <v>45684</v>
      </c>
      <c r="D44" t="inlineStr">
        <is>
          <t>ÖREBRO LÄN</t>
        </is>
      </c>
      <c r="E44" t="inlineStr">
        <is>
          <t>KARLSKOGA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62313-2019</t>
        </is>
      </c>
      <c r="B45" s="1" t="n">
        <v>43788</v>
      </c>
      <c r="C45" s="1" t="n">
        <v>45684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62317-2019</t>
        </is>
      </c>
      <c r="B46" s="1" t="n">
        <v>43788</v>
      </c>
      <c r="C46" s="1" t="n">
        <v>45684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67800-2019</t>
        </is>
      </c>
      <c r="B47" s="1" t="n">
        <v>43815</v>
      </c>
      <c r="C47" s="1" t="n">
        <v>45684</v>
      </c>
      <c r="D47" t="inlineStr">
        <is>
          <t>ÖREBRO LÄN</t>
        </is>
      </c>
      <c r="E47" t="inlineStr">
        <is>
          <t>KARLSKOGA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2134-2020</t>
        </is>
      </c>
      <c r="B48" s="1" t="n">
        <v>43839</v>
      </c>
      <c r="C48" s="1" t="n">
        <v>45684</v>
      </c>
      <c r="D48" t="inlineStr">
        <is>
          <t>ÖREBRO LÄN</t>
        </is>
      </c>
      <c r="E48" t="inlineStr">
        <is>
          <t>KARLSKOGA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4209-2020</t>
        </is>
      </c>
      <c r="B49" s="1" t="n">
        <v>43857</v>
      </c>
      <c r="C49" s="1" t="n">
        <v>45684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6064-2020</t>
        </is>
      </c>
      <c r="B50" s="1" t="n">
        <v>43865</v>
      </c>
      <c r="C50" s="1" t="n">
        <v>45684</v>
      </c>
      <c r="D50" t="inlineStr">
        <is>
          <t>ÖREBRO LÄN</t>
        </is>
      </c>
      <c r="E50" t="inlineStr">
        <is>
          <t>KARLSKOGA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6014-2020</t>
        </is>
      </c>
      <c r="B51" s="1" t="n">
        <v>43865</v>
      </c>
      <c r="C51" s="1" t="n">
        <v>45684</v>
      </c>
      <c r="D51" t="inlineStr">
        <is>
          <t>ÖREBRO LÄN</t>
        </is>
      </c>
      <c r="E51" t="inlineStr">
        <is>
          <t>KARLSKOGA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6081-2020</t>
        </is>
      </c>
      <c r="B52" s="1" t="n">
        <v>43865</v>
      </c>
      <c r="C52" s="1" t="n">
        <v>45684</v>
      </c>
      <c r="D52" t="inlineStr">
        <is>
          <t>ÖREBRO LÄN</t>
        </is>
      </c>
      <c r="E52" t="inlineStr">
        <is>
          <t>KARLSKOGA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6089-2020</t>
        </is>
      </c>
      <c r="B53" s="1" t="n">
        <v>43865</v>
      </c>
      <c r="C53" s="1" t="n">
        <v>45684</v>
      </c>
      <c r="D53" t="inlineStr">
        <is>
          <t>ÖREBRO LÄN</t>
        </is>
      </c>
      <c r="E53" t="inlineStr">
        <is>
          <t>KARLSKOGA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9712-2020</t>
        </is>
      </c>
      <c r="B54" s="1" t="n">
        <v>43881</v>
      </c>
      <c r="C54" s="1" t="n">
        <v>45684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10724-2020</t>
        </is>
      </c>
      <c r="B55" s="1" t="n">
        <v>43885</v>
      </c>
      <c r="C55" s="1" t="n">
        <v>45684</v>
      </c>
      <c r="D55" t="inlineStr">
        <is>
          <t>ÖREBRO LÄN</t>
        </is>
      </c>
      <c r="E55" t="inlineStr">
        <is>
          <t>KARLSKOGA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15167-2020</t>
        </is>
      </c>
      <c r="B56" s="1" t="n">
        <v>43912</v>
      </c>
      <c r="C56" s="1" t="n">
        <v>45684</v>
      </c>
      <c r="D56" t="inlineStr">
        <is>
          <t>ÖREBRO LÄN</t>
        </is>
      </c>
      <c r="E56" t="inlineStr">
        <is>
          <t>KARLSKOGA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15168-2020</t>
        </is>
      </c>
      <c r="B57" s="1" t="n">
        <v>43912</v>
      </c>
      <c r="C57" s="1" t="n">
        <v>45684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15170-2020</t>
        </is>
      </c>
      <c r="B58" s="1" t="n">
        <v>43912</v>
      </c>
      <c r="C58" s="1" t="n">
        <v>45684</v>
      </c>
      <c r="D58" t="inlineStr">
        <is>
          <t>ÖREBRO LÄN</t>
        </is>
      </c>
      <c r="E58" t="inlineStr">
        <is>
          <t>KARLSKOGA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16186-2020</t>
        </is>
      </c>
      <c r="B59" s="1" t="n">
        <v>43917</v>
      </c>
      <c r="C59" s="1" t="n">
        <v>45684</v>
      </c>
      <c r="D59" t="inlineStr">
        <is>
          <t>ÖREBRO LÄN</t>
        </is>
      </c>
      <c r="E59" t="inlineStr">
        <is>
          <t>KARLSKOGA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16185-2020</t>
        </is>
      </c>
      <c r="B60" s="1" t="n">
        <v>43917</v>
      </c>
      <c r="C60" s="1" t="n">
        <v>45684</v>
      </c>
      <c r="D60" t="inlineStr">
        <is>
          <t>ÖREBRO LÄN</t>
        </is>
      </c>
      <c r="E60" t="inlineStr">
        <is>
          <t>KARLSKOGA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16192-2020</t>
        </is>
      </c>
      <c r="B61" s="1" t="n">
        <v>43917</v>
      </c>
      <c r="C61" s="1" t="n">
        <v>45684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16693-2020</t>
        </is>
      </c>
      <c r="B62" s="1" t="n">
        <v>43920</v>
      </c>
      <c r="C62" s="1" t="n">
        <v>45684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18663-2020</t>
        </is>
      </c>
      <c r="B63" s="1" t="n">
        <v>43930</v>
      </c>
      <c r="C63" s="1" t="n">
        <v>45684</v>
      </c>
      <c r="D63" t="inlineStr">
        <is>
          <t>ÖREBRO LÄN</t>
        </is>
      </c>
      <c r="E63" t="inlineStr">
        <is>
          <t>KARLSKOGA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22354-2020</t>
        </is>
      </c>
      <c r="B64" s="1" t="n">
        <v>43957</v>
      </c>
      <c r="C64" s="1" t="n">
        <v>45684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27293-2020</t>
        </is>
      </c>
      <c r="B65" s="1" t="n">
        <v>43992</v>
      </c>
      <c r="C65" s="1" t="n">
        <v>45684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31167-2020</t>
        </is>
      </c>
      <c r="B66" s="1" t="n">
        <v>44012</v>
      </c>
      <c r="C66" s="1" t="n">
        <v>45684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31156-2020</t>
        </is>
      </c>
      <c r="B67" s="1" t="n">
        <v>44012</v>
      </c>
      <c r="C67" s="1" t="n">
        <v>45684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38739-2020</t>
        </is>
      </c>
      <c r="B68" s="1" t="n">
        <v>44061</v>
      </c>
      <c r="C68" s="1" t="n">
        <v>45684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39825-2020</t>
        </is>
      </c>
      <c r="B69" s="1" t="n">
        <v>44067</v>
      </c>
      <c r="C69" s="1" t="n">
        <v>45684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45684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45684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45684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45684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45684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45684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45684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45684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45684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45684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45684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45684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45684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45684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45684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45684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45684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45684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45684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45684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45684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45684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45684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45684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45684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45684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45684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45684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45684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45684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45684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45684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45684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45684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45684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45684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45684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45684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45684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45684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45684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45684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45684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45684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45684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45684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45684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45684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45684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45684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45684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45684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45684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45684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45684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45684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45684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45684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45684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45684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45684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45684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45684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45684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45684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45684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45684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45684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45684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45684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45684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45684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45684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45684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45684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45684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45684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45684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45684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45684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45684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45684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45684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45684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45684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45684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45684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45684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45684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45684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45684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45684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45684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45684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45684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45684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45684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45684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45684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45684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45684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45684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45684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45684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45684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45684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45684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45684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45684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45684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45684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45684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45684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45684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45684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45684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45684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45684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45684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45684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45684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45684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45684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45684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45684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45684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45684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45684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45684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45684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45684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45684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45684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45684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45684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45684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45684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45684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45684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45684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45684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45684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45684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45684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45684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45684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45684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45684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45684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45684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45684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45684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45684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45684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45684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45684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45684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45684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45684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45684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45684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45684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45684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45684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45684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45684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45684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45684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45684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45684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45684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45684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45684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45684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45684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45684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45684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45684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45684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45684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45684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45684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45684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45684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45684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45684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45684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45684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45684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45684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45684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45684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45684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45684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45684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45684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45684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45684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45684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45684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45684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45684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45684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45684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45684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45684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45684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45684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45684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45684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45684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45684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45684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45684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45684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45684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45684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45684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45684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45684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45684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45684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45684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45684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45684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45684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45684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45684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45684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45684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45684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45684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45684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45684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45684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45684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45684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45684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45684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45684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45684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45684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45684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45684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45684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45684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45684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45684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45684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45684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45684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45684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45684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45684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45684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45684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45684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45684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45684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45684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45684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45684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45684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45684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45684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45684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45684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45684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45684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45684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45684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45684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45684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45684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45684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45684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45684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45684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45684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45684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45684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45684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45684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45684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45684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45684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45684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45684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45684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45684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45684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45684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45684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45684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45684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45684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45684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45684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45684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3237-2025</t>
        </is>
      </c>
      <c r="B369" s="1" t="n">
        <v>45679</v>
      </c>
      <c r="C369" s="1" t="n">
        <v>45684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2025-01-27T16:26:44Z</dcterms:created>
  <dcterms:modified xmlns:dcterms="http://purl.org/dc/terms/" xmlns:xsi="http://www.w3.org/2001/XMLSchema-instance" xsi:type="dcterms:W3CDTF">2025-01-27T16:26:44Z</dcterms:modified>
</cp:coreProperties>
</file>